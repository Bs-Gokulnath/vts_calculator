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"/>
  </bookViews>
  <sheets>
    <sheet name="VSF" sheetId="1" r:id="rId1"/>
    <sheet name="Modal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40" i="2"/>
  <c r="Q17"/>
  <c r="P17"/>
  <c r="O17"/>
  <c r="I17"/>
  <c r="E36" s="1"/>
  <c r="H17"/>
  <c r="D36" s="1"/>
  <c r="G17"/>
  <c r="C36" s="1"/>
  <c r="F17"/>
  <c r="B36" s="1"/>
  <c r="F36" s="1"/>
  <c r="B56" s="1"/>
  <c r="G56" s="1"/>
  <c r="Q16"/>
  <c r="P16"/>
  <c r="O16"/>
  <c r="I16"/>
  <c r="E35" s="1"/>
  <c r="H16"/>
  <c r="D35" s="1"/>
  <c r="G16"/>
  <c r="C35" s="1"/>
  <c r="F16"/>
  <c r="B35" s="1"/>
  <c r="F35" s="1"/>
  <c r="B55" s="1"/>
  <c r="G55" s="1"/>
  <c r="Q15"/>
  <c r="P15"/>
  <c r="O15"/>
  <c r="I15"/>
  <c r="E34" s="1"/>
  <c r="H15"/>
  <c r="D34" s="1"/>
  <c r="G15"/>
  <c r="C34" s="1"/>
  <c r="F15"/>
  <c r="B34" s="1"/>
  <c r="F34" s="1"/>
  <c r="B54" s="1"/>
  <c r="G54" s="1"/>
  <c r="Q14"/>
  <c r="P14"/>
  <c r="O14"/>
  <c r="I14"/>
  <c r="E33" s="1"/>
  <c r="H14"/>
  <c r="D33" s="1"/>
  <c r="G14"/>
  <c r="C33" s="1"/>
  <c r="F14"/>
  <c r="B33" s="1"/>
  <c r="F33" s="1"/>
  <c r="B53" s="1"/>
  <c r="G53" s="1"/>
  <c r="Q13"/>
  <c r="P13"/>
  <c r="O13"/>
  <c r="I13"/>
  <c r="E32" s="1"/>
  <c r="H13"/>
  <c r="D32" s="1"/>
  <c r="G13"/>
  <c r="C32" s="1"/>
  <c r="F13"/>
  <c r="B32" s="1"/>
  <c r="F32" s="1"/>
  <c r="B52" s="1"/>
  <c r="G52" s="1"/>
  <c r="Q12"/>
  <c r="P12"/>
  <c r="O12"/>
  <c r="I12"/>
  <c r="E31" s="1"/>
  <c r="H12"/>
  <c r="D31" s="1"/>
  <c r="G12"/>
  <c r="C31" s="1"/>
  <c r="F12"/>
  <c r="B31" s="1"/>
  <c r="F31" s="1"/>
  <c r="B51" s="1"/>
  <c r="G51" s="1"/>
  <c r="Q11"/>
  <c r="P11"/>
  <c r="O11"/>
  <c r="I11"/>
  <c r="E30" s="1"/>
  <c r="H11"/>
  <c r="D30" s="1"/>
  <c r="G11"/>
  <c r="C30" s="1"/>
  <c r="F11"/>
  <c r="B30" s="1"/>
  <c r="F30" s="1"/>
  <c r="B50" s="1"/>
  <c r="G50" s="1"/>
  <c r="Q10"/>
  <c r="P10"/>
  <c r="O10"/>
  <c r="I10"/>
  <c r="E29" s="1"/>
  <c r="H10"/>
  <c r="D29" s="1"/>
  <c r="G10"/>
  <c r="C29" s="1"/>
  <c r="F10"/>
  <c r="B29" s="1"/>
  <c r="F29" s="1"/>
  <c r="B49" s="1"/>
  <c r="G49" s="1"/>
  <c r="Q9"/>
  <c r="P9"/>
  <c r="O9"/>
  <c r="I9"/>
  <c r="E28" s="1"/>
  <c r="H9"/>
  <c r="D28" s="1"/>
  <c r="G9"/>
  <c r="C28" s="1"/>
  <c r="F9"/>
  <c r="B28" s="1"/>
  <c r="F28" s="1"/>
  <c r="B48" s="1"/>
  <c r="G48" s="1"/>
  <c r="Q8"/>
  <c r="P8"/>
  <c r="O8"/>
  <c r="I8"/>
  <c r="E27" s="1"/>
  <c r="H8"/>
  <c r="D27" s="1"/>
  <c r="G8"/>
  <c r="C27" s="1"/>
  <c r="F8"/>
  <c r="B27" s="1"/>
  <c r="F27" s="1"/>
  <c r="B47" s="1"/>
  <c r="G47" s="1"/>
  <c r="Q7"/>
  <c r="P7"/>
  <c r="O7"/>
  <c r="I7"/>
  <c r="E26" s="1"/>
  <c r="H7"/>
  <c r="D26" s="1"/>
  <c r="G7"/>
  <c r="C26" s="1"/>
  <c r="F7"/>
  <c r="B26" s="1"/>
  <c r="F26" s="1"/>
  <c r="B46" s="1"/>
  <c r="G46" s="1"/>
  <c r="Q6"/>
  <c r="P6"/>
  <c r="O6"/>
  <c r="I6"/>
  <c r="E25" s="1"/>
  <c r="H6"/>
  <c r="D25" s="1"/>
  <c r="G6"/>
  <c r="C25" s="1"/>
  <c r="F6"/>
  <c r="B25" s="1"/>
  <c r="F25" s="1"/>
  <c r="B45" s="1"/>
  <c r="G45" s="1"/>
  <c r="B40" i="1"/>
  <c r="H17"/>
  <c r="B27"/>
  <c r="F27" s="1"/>
  <c r="B47" s="1"/>
  <c r="Q7"/>
  <c r="Q8"/>
  <c r="Q9"/>
  <c r="Q10"/>
  <c r="Q11"/>
  <c r="Q12"/>
  <c r="Q13"/>
  <c r="Q14"/>
  <c r="Q15"/>
  <c r="Q16"/>
  <c r="Q17"/>
  <c r="Q6"/>
  <c r="P7"/>
  <c r="P8"/>
  <c r="P9"/>
  <c r="P10"/>
  <c r="P11"/>
  <c r="P12"/>
  <c r="P13"/>
  <c r="P14"/>
  <c r="P15"/>
  <c r="P16"/>
  <c r="P17"/>
  <c r="P6"/>
  <c r="O7"/>
  <c r="O8"/>
  <c r="O9"/>
  <c r="O10"/>
  <c r="O11"/>
  <c r="O12"/>
  <c r="O13"/>
  <c r="O14"/>
  <c r="O15"/>
  <c r="O16"/>
  <c r="O17"/>
  <c r="O6"/>
  <c r="I17"/>
  <c r="I15"/>
  <c r="I16"/>
  <c r="I6"/>
  <c r="E25" s="1"/>
  <c r="I7"/>
  <c r="E26" s="1"/>
  <c r="I8"/>
  <c r="E27" s="1"/>
  <c r="I9"/>
  <c r="E28" s="1"/>
  <c r="I10"/>
  <c r="E29" s="1"/>
  <c r="I11"/>
  <c r="E30" s="1"/>
  <c r="I12"/>
  <c r="E31" s="1"/>
  <c r="I13"/>
  <c r="E32" s="1"/>
  <c r="H15"/>
  <c r="H16"/>
  <c r="H6"/>
  <c r="H7"/>
  <c r="H8"/>
  <c r="H9"/>
  <c r="H10"/>
  <c r="H11"/>
  <c r="H12"/>
  <c r="D31" s="1"/>
  <c r="L31" s="1"/>
  <c r="H13"/>
  <c r="D32" s="1"/>
  <c r="L32" s="1"/>
  <c r="F17"/>
  <c r="B36" s="1"/>
  <c r="F36" s="1"/>
  <c r="B56" s="1"/>
  <c r="F15"/>
  <c r="B34" s="1"/>
  <c r="F34" s="1"/>
  <c r="B54" s="1"/>
  <c r="F16"/>
  <c r="B35" s="1"/>
  <c r="F35" s="1"/>
  <c r="B55" s="1"/>
  <c r="F6"/>
  <c r="B25" s="1"/>
  <c r="F25" s="1"/>
  <c r="B45" s="1"/>
  <c r="F7"/>
  <c r="B26" s="1"/>
  <c r="F26" s="1"/>
  <c r="B46" s="1"/>
  <c r="F8"/>
  <c r="F9"/>
  <c r="B28" s="1"/>
  <c r="F28" s="1"/>
  <c r="B48" s="1"/>
  <c r="F10"/>
  <c r="B29" s="1"/>
  <c r="F29" s="1"/>
  <c r="B49" s="1"/>
  <c r="F11"/>
  <c r="B30" s="1"/>
  <c r="F30" s="1"/>
  <c r="B50" s="1"/>
  <c r="F12"/>
  <c r="B31" s="1"/>
  <c r="F31" s="1"/>
  <c r="B51" s="1"/>
  <c r="F13"/>
  <c r="B32" s="1"/>
  <c r="F32" s="1"/>
  <c r="B52" s="1"/>
  <c r="I14"/>
  <c r="H14"/>
  <c r="F14"/>
  <c r="B33" s="1"/>
  <c r="F33" s="1"/>
  <c r="B53" s="1"/>
  <c r="G7"/>
  <c r="C26" s="1"/>
  <c r="G8"/>
  <c r="G9"/>
  <c r="C28" s="1"/>
  <c r="G10"/>
  <c r="G11"/>
  <c r="C30" s="1"/>
  <c r="G12"/>
  <c r="G13"/>
  <c r="C32" s="1"/>
  <c r="G14"/>
  <c r="G15"/>
  <c r="C34" s="1"/>
  <c r="G16"/>
  <c r="G17"/>
  <c r="C36" s="1"/>
  <c r="G6"/>
  <c r="K25" i="2" l="1"/>
  <c r="G25"/>
  <c r="C45" s="1"/>
  <c r="K26"/>
  <c r="G26"/>
  <c r="C46" s="1"/>
  <c r="L27"/>
  <c r="H27"/>
  <c r="D47" s="1"/>
  <c r="I47" s="1"/>
  <c r="M28"/>
  <c r="I28"/>
  <c r="E48" s="1"/>
  <c r="K30"/>
  <c r="G30"/>
  <c r="C50" s="1"/>
  <c r="M25"/>
  <c r="I25"/>
  <c r="E45" s="1"/>
  <c r="K27"/>
  <c r="G27"/>
  <c r="C47" s="1"/>
  <c r="L28"/>
  <c r="H28"/>
  <c r="D48" s="1"/>
  <c r="I48" s="1"/>
  <c r="M29"/>
  <c r="I29"/>
  <c r="E49" s="1"/>
  <c r="K31"/>
  <c r="G31"/>
  <c r="C51" s="1"/>
  <c r="L32"/>
  <c r="H32"/>
  <c r="D52" s="1"/>
  <c r="I52" s="1"/>
  <c r="M33"/>
  <c r="I33"/>
  <c r="E53" s="1"/>
  <c r="K35"/>
  <c r="G35"/>
  <c r="C55" s="1"/>
  <c r="L36"/>
  <c r="H36"/>
  <c r="D56" s="1"/>
  <c r="I56" s="1"/>
  <c r="M27"/>
  <c r="I27"/>
  <c r="E47" s="1"/>
  <c r="L31"/>
  <c r="H31"/>
  <c r="D51" s="1"/>
  <c r="I51" s="1"/>
  <c r="M32"/>
  <c r="I32"/>
  <c r="E52" s="1"/>
  <c r="J52" s="1"/>
  <c r="K34"/>
  <c r="G34"/>
  <c r="C54" s="1"/>
  <c r="L35"/>
  <c r="H35"/>
  <c r="D55" s="1"/>
  <c r="I55" s="1"/>
  <c r="M36"/>
  <c r="I36"/>
  <c r="E56" s="1"/>
  <c r="H25"/>
  <c r="D45" s="1"/>
  <c r="I45" s="1"/>
  <c r="L25"/>
  <c r="I26"/>
  <c r="E46" s="1"/>
  <c r="M26"/>
  <c r="G28"/>
  <c r="C48" s="1"/>
  <c r="K28"/>
  <c r="H29"/>
  <c r="D49" s="1"/>
  <c r="I49" s="1"/>
  <c r="L29"/>
  <c r="I30"/>
  <c r="E50" s="1"/>
  <c r="M30"/>
  <c r="G32"/>
  <c r="C52" s="1"/>
  <c r="H52" s="1"/>
  <c r="K32"/>
  <c r="H33"/>
  <c r="D53" s="1"/>
  <c r="I53" s="1"/>
  <c r="L33"/>
  <c r="I34"/>
  <c r="E54" s="1"/>
  <c r="M34"/>
  <c r="G36"/>
  <c r="C56" s="1"/>
  <c r="H56" s="1"/>
  <c r="K36"/>
  <c r="L26"/>
  <c r="H26"/>
  <c r="D46" s="1"/>
  <c r="I46" s="1"/>
  <c r="K29"/>
  <c r="G29"/>
  <c r="C49" s="1"/>
  <c r="H49" s="1"/>
  <c r="L30"/>
  <c r="H30"/>
  <c r="D50" s="1"/>
  <c r="I50" s="1"/>
  <c r="M31"/>
  <c r="I31"/>
  <c r="E51" s="1"/>
  <c r="K33"/>
  <c r="G33"/>
  <c r="C53" s="1"/>
  <c r="L34"/>
  <c r="H34"/>
  <c r="D54" s="1"/>
  <c r="I54" s="1"/>
  <c r="M35"/>
  <c r="I35"/>
  <c r="E55" s="1"/>
  <c r="J45"/>
  <c r="J46"/>
  <c r="J47"/>
  <c r="J48"/>
  <c r="J49"/>
  <c r="J50"/>
  <c r="J51"/>
  <c r="J53"/>
  <c r="J54"/>
  <c r="J55"/>
  <c r="J56"/>
  <c r="H45"/>
  <c r="H46"/>
  <c r="H47"/>
  <c r="H48"/>
  <c r="H50"/>
  <c r="H51"/>
  <c r="H53"/>
  <c r="H54"/>
  <c r="H55"/>
  <c r="D33" i="1"/>
  <c r="D29"/>
  <c r="H29" s="1"/>
  <c r="D49" s="1"/>
  <c r="I49" s="1"/>
  <c r="D25"/>
  <c r="E34"/>
  <c r="I34" s="1"/>
  <c r="E54" s="1"/>
  <c r="J54" s="1"/>
  <c r="C35"/>
  <c r="C31"/>
  <c r="K31" s="1"/>
  <c r="C27"/>
  <c r="D35"/>
  <c r="L35" s="1"/>
  <c r="D27"/>
  <c r="L27" s="1"/>
  <c r="E35"/>
  <c r="M35" s="1"/>
  <c r="E33"/>
  <c r="C25"/>
  <c r="G25" s="1"/>
  <c r="C45" s="1"/>
  <c r="H45" s="1"/>
  <c r="C33"/>
  <c r="C29"/>
  <c r="K29" s="1"/>
  <c r="D30"/>
  <c r="D26"/>
  <c r="L26" s="1"/>
  <c r="D28"/>
  <c r="L28" s="1"/>
  <c r="E36"/>
  <c r="M36" s="1"/>
  <c r="G36"/>
  <c r="C56" s="1"/>
  <c r="H56" s="1"/>
  <c r="K36"/>
  <c r="I31"/>
  <c r="E51" s="1"/>
  <c r="M31"/>
  <c r="M34"/>
  <c r="G31"/>
  <c r="C51" s="1"/>
  <c r="K27"/>
  <c r="G27"/>
  <c r="C47" s="1"/>
  <c r="H47" s="1"/>
  <c r="I35"/>
  <c r="E55" s="1"/>
  <c r="K25"/>
  <c r="G29"/>
  <c r="C49" s="1"/>
  <c r="H49" s="1"/>
  <c r="M32"/>
  <c r="I32"/>
  <c r="E52" s="1"/>
  <c r="J52" s="1"/>
  <c r="M28"/>
  <c r="I28"/>
  <c r="E48" s="1"/>
  <c r="I36"/>
  <c r="E56" s="1"/>
  <c r="J56" s="1"/>
  <c r="K34"/>
  <c r="G34"/>
  <c r="C54" s="1"/>
  <c r="G30"/>
  <c r="C50" s="1"/>
  <c r="H50" s="1"/>
  <c r="K30"/>
  <c r="G26"/>
  <c r="C46" s="1"/>
  <c r="K26"/>
  <c r="I29"/>
  <c r="E49" s="1"/>
  <c r="J49" s="1"/>
  <c r="M29"/>
  <c r="I25"/>
  <c r="E45" s="1"/>
  <c r="M25"/>
  <c r="K32"/>
  <c r="G32"/>
  <c r="C52" s="1"/>
  <c r="H52" s="1"/>
  <c r="K28"/>
  <c r="G28"/>
  <c r="C48" s="1"/>
  <c r="H33"/>
  <c r="D53" s="1"/>
  <c r="L33"/>
  <c r="L25"/>
  <c r="H25"/>
  <c r="D45" s="1"/>
  <c r="I45" s="1"/>
  <c r="I27"/>
  <c r="E47" s="1"/>
  <c r="M27"/>
  <c r="K35"/>
  <c r="G35"/>
  <c r="C55" s="1"/>
  <c r="H55" s="1"/>
  <c r="K33"/>
  <c r="G33"/>
  <c r="C53" s="1"/>
  <c r="I33"/>
  <c r="E53" s="1"/>
  <c r="M33"/>
  <c r="M30"/>
  <c r="I30"/>
  <c r="E50" s="1"/>
  <c r="J50" s="1"/>
  <c r="M26"/>
  <c r="I26"/>
  <c r="E46" s="1"/>
  <c r="J46" s="1"/>
  <c r="J53"/>
  <c r="G52"/>
  <c r="H46"/>
  <c r="H54"/>
  <c r="G47"/>
  <c r="G51"/>
  <c r="G55"/>
  <c r="J45"/>
  <c r="H53"/>
  <c r="J47"/>
  <c r="J51"/>
  <c r="J55"/>
  <c r="D34"/>
  <c r="G46"/>
  <c r="G50"/>
  <c r="G54"/>
  <c r="H48"/>
  <c r="I53"/>
  <c r="G48"/>
  <c r="G56"/>
  <c r="J48"/>
  <c r="D36"/>
  <c r="G45"/>
  <c r="G49"/>
  <c r="G53"/>
  <c r="H51"/>
  <c r="H26"/>
  <c r="D46" s="1"/>
  <c r="I46" s="1"/>
  <c r="H34"/>
  <c r="D54" s="1"/>
  <c r="I54" s="1"/>
  <c r="L34"/>
  <c r="L29"/>
  <c r="H30"/>
  <c r="D50" s="1"/>
  <c r="I50" s="1"/>
  <c r="L30"/>
  <c r="H32"/>
  <c r="D52" s="1"/>
  <c r="I52" s="1"/>
  <c r="H31"/>
  <c r="D51" s="1"/>
  <c r="I51" s="1"/>
  <c r="H27"/>
  <c r="D47" s="1"/>
  <c r="I47" s="1"/>
  <c r="H28"/>
  <c r="D48" s="1"/>
  <c r="I48" s="1"/>
  <c r="H35" l="1"/>
  <c r="D55" s="1"/>
  <c r="I55" s="1"/>
  <c r="H36"/>
  <c r="D56" s="1"/>
  <c r="I56" s="1"/>
  <c r="L36"/>
</calcChain>
</file>

<file path=xl/sharedStrings.xml><?xml version="1.0" encoding="utf-8"?>
<sst xmlns="http://schemas.openxmlformats.org/spreadsheetml/2006/main" count="100" uniqueCount="16">
  <si>
    <t>VSF</t>
  </si>
  <si>
    <t>TPI</t>
  </si>
  <si>
    <t>TM</t>
  </si>
  <si>
    <t>Spindle Speed</t>
  </si>
  <si>
    <t>Compact</t>
  </si>
  <si>
    <t>Count</t>
  </si>
  <si>
    <t>Slub</t>
  </si>
  <si>
    <t>Siro</t>
  </si>
  <si>
    <t>N Compact</t>
  </si>
  <si>
    <t>Efficiency</t>
  </si>
  <si>
    <t>Contribution</t>
  </si>
  <si>
    <t>Production Cost</t>
  </si>
  <si>
    <t>Fiber cost</t>
  </si>
  <si>
    <t>Cleaned Fiber</t>
  </si>
  <si>
    <t>GPS Production / Shift</t>
  </si>
  <si>
    <t>Price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</si>
</sst>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5" xfId="0" applyNumberFormat="1" applyBorder="1"/>
    <xf numFmtId="2" fontId="0" fillId="0" borderId="0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164" fontId="0" fillId="0" borderId="0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5" xfId="0" applyNumberFormat="1" applyFill="1" applyBorder="1"/>
    <xf numFmtId="164" fontId="0" fillId="0" borderId="7" xfId="0" applyNumberFormat="1" applyFill="1" applyBorder="1"/>
    <xf numFmtId="164" fontId="0" fillId="0" borderId="4" xfId="0" applyNumberFormat="1" applyBorder="1"/>
    <xf numFmtId="164" fontId="0" fillId="0" borderId="6" xfId="0" applyNumberFormat="1" applyBorder="1"/>
    <xf numFmtId="164" fontId="0" fillId="0" borderId="9" xfId="0" applyNumberFormat="1" applyBorder="1"/>
    <xf numFmtId="164" fontId="0" fillId="0" borderId="2" xfId="0" applyNumberFormat="1" applyFill="1" applyBorder="1"/>
    <xf numFmtId="164" fontId="0" fillId="0" borderId="10" xfId="0" applyNumberFormat="1" applyFill="1" applyBorder="1"/>
    <xf numFmtId="164" fontId="0" fillId="0" borderId="15" xfId="0" applyNumberFormat="1" applyFill="1" applyBorder="1"/>
    <xf numFmtId="164" fontId="0" fillId="0" borderId="11" xfId="0" applyNumberFormat="1" applyFill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Q56"/>
  <sheetViews>
    <sheetView topLeftCell="A20" workbookViewId="0">
      <selection activeCell="A20" sqref="A1:XFD1048576"/>
    </sheetView>
  </sheetViews>
  <sheetFormatPr defaultRowHeight="15"/>
  <cols>
    <col min="1" max="1" width="13.85546875" bestFit="1" customWidth="1"/>
    <col min="2" max="2" width="10.5703125" bestFit="1" customWidth="1"/>
    <col min="6" max="7" width="10.5703125" bestFit="1" customWidth="1"/>
    <col min="10" max="10" width="10.5703125" bestFit="1" customWidth="1"/>
    <col min="11" max="11" width="10.85546875" customWidth="1"/>
    <col min="12" max="12" width="11.140625" customWidth="1"/>
    <col min="13" max="13" width="9.85546875" customWidth="1"/>
    <col min="14" max="14" width="10.5703125" bestFit="1" customWidth="1"/>
    <col min="15" max="15" width="8.7109375" bestFit="1" customWidth="1"/>
    <col min="16" max="16" width="8.7109375" customWidth="1"/>
    <col min="19" max="19" width="10.5703125" bestFit="1" customWidth="1"/>
    <col min="20" max="20" width="8.7109375" bestFit="1" customWidth="1"/>
    <col min="21" max="21" width="10.140625" customWidth="1"/>
    <col min="27" max="28" width="11.5703125" bestFit="1" customWidth="1"/>
  </cols>
  <sheetData>
    <row r="2" spans="1:17">
      <c r="B2" t="s">
        <v>0</v>
      </c>
    </row>
    <row r="4" spans="1:17">
      <c r="A4" t="s">
        <v>5</v>
      </c>
      <c r="B4" s="34" t="s">
        <v>2</v>
      </c>
      <c r="C4" s="35"/>
      <c r="D4" s="35"/>
      <c r="E4" s="36"/>
      <c r="F4" s="34" t="s">
        <v>1</v>
      </c>
      <c r="G4" s="35"/>
      <c r="H4" s="35"/>
      <c r="I4" s="36"/>
      <c r="J4" s="37" t="s">
        <v>3</v>
      </c>
      <c r="K4" s="37"/>
      <c r="L4" s="37"/>
      <c r="M4" s="37"/>
      <c r="N4" s="37" t="s">
        <v>9</v>
      </c>
      <c r="O4" s="37"/>
      <c r="P4" s="37"/>
      <c r="Q4" s="37"/>
    </row>
    <row r="5" spans="1:17">
      <c r="B5" s="16" t="s">
        <v>8</v>
      </c>
      <c r="C5" s="16" t="s">
        <v>4</v>
      </c>
      <c r="D5" s="16" t="s">
        <v>7</v>
      </c>
      <c r="E5" s="16" t="s">
        <v>6</v>
      </c>
      <c r="F5" s="16" t="s">
        <v>8</v>
      </c>
      <c r="G5" s="16" t="s">
        <v>4</v>
      </c>
      <c r="H5" s="16" t="s">
        <v>7</v>
      </c>
      <c r="I5" s="16" t="s">
        <v>6</v>
      </c>
      <c r="J5" s="16" t="s">
        <v>8</v>
      </c>
      <c r="K5" s="16" t="s">
        <v>4</v>
      </c>
      <c r="L5" s="16" t="s">
        <v>7</v>
      </c>
      <c r="M5" s="16" t="s">
        <v>6</v>
      </c>
      <c r="N5" s="17" t="s">
        <v>8</v>
      </c>
      <c r="O5" s="17" t="s">
        <v>4</v>
      </c>
      <c r="P5" s="17" t="s">
        <v>7</v>
      </c>
      <c r="Q5" s="17" t="s">
        <v>6</v>
      </c>
    </row>
    <row r="6" spans="1:17">
      <c r="A6">
        <v>12</v>
      </c>
      <c r="B6" s="4">
        <v>3.5</v>
      </c>
      <c r="C6" s="5">
        <v>3.2</v>
      </c>
      <c r="D6" s="5">
        <v>3.4</v>
      </c>
      <c r="E6" s="5">
        <v>3.75</v>
      </c>
      <c r="F6" s="10">
        <f t="shared" ref="F6:F17" si="0">SQRT(A6)*B6</f>
        <v>12.124355652982141</v>
      </c>
      <c r="G6" s="11">
        <f t="shared" ref="G6:G17" si="1">SQRT(A6)*C6</f>
        <v>11.085125168440815</v>
      </c>
      <c r="H6" s="11">
        <f t="shared" ref="H6:H16" si="2">SQRT(A6)*D7</f>
        <v>11.431535329954588</v>
      </c>
      <c r="I6" s="12">
        <f t="shared" ref="I6:I17" si="3">SQRT(A6)*E6</f>
        <v>12.990381056766578</v>
      </c>
      <c r="J6" s="1">
        <v>14000</v>
      </c>
      <c r="K6" s="2">
        <v>14000</v>
      </c>
      <c r="L6" s="2">
        <v>14000</v>
      </c>
      <c r="M6" s="2">
        <v>12000</v>
      </c>
      <c r="N6" s="1">
        <v>88</v>
      </c>
      <c r="O6" s="2">
        <f>N6-1</f>
        <v>87</v>
      </c>
      <c r="P6" s="2">
        <f>N6-1</f>
        <v>87</v>
      </c>
      <c r="Q6" s="3">
        <f>N6-2</f>
        <v>86</v>
      </c>
    </row>
    <row r="7" spans="1:17">
      <c r="A7">
        <v>15</v>
      </c>
      <c r="B7" s="4">
        <v>3.4</v>
      </c>
      <c r="C7" s="5">
        <v>3</v>
      </c>
      <c r="D7" s="5">
        <v>3.3</v>
      </c>
      <c r="E7" s="5">
        <v>3.7</v>
      </c>
      <c r="F7" s="10">
        <f t="shared" si="0"/>
        <v>13.168143377105217</v>
      </c>
      <c r="G7" s="11">
        <f t="shared" si="1"/>
        <v>11.618950038622252</v>
      </c>
      <c r="H7" s="11">
        <f t="shared" si="2"/>
        <v>12.780845042484476</v>
      </c>
      <c r="I7" s="12">
        <f t="shared" si="3"/>
        <v>14.330038380967444</v>
      </c>
      <c r="J7" s="4">
        <v>16000</v>
      </c>
      <c r="K7" s="5">
        <v>16000</v>
      </c>
      <c r="L7" s="5">
        <v>16000</v>
      </c>
      <c r="M7" s="5">
        <v>15000</v>
      </c>
      <c r="N7" s="4">
        <v>88</v>
      </c>
      <c r="O7" s="5">
        <f t="shared" ref="O7:O17" si="4">N7-1</f>
        <v>87</v>
      </c>
      <c r="P7" s="5">
        <f t="shared" ref="P7:P17" si="5">N7-1</f>
        <v>87</v>
      </c>
      <c r="Q7" s="6">
        <f t="shared" ref="Q7:Q17" si="6">N7-2</f>
        <v>86</v>
      </c>
    </row>
    <row r="8" spans="1:17">
      <c r="A8">
        <v>16</v>
      </c>
      <c r="B8" s="4">
        <v>3.4</v>
      </c>
      <c r="C8" s="5">
        <v>3</v>
      </c>
      <c r="D8" s="5">
        <v>3.3</v>
      </c>
      <c r="E8" s="5">
        <v>3.7</v>
      </c>
      <c r="F8" s="10">
        <f t="shared" si="0"/>
        <v>13.6</v>
      </c>
      <c r="G8" s="11">
        <f t="shared" si="1"/>
        <v>12</v>
      </c>
      <c r="H8" s="11">
        <f t="shared" si="2"/>
        <v>12.8</v>
      </c>
      <c r="I8" s="12">
        <f t="shared" si="3"/>
        <v>14.8</v>
      </c>
      <c r="J8" s="4">
        <v>16500</v>
      </c>
      <c r="K8" s="5">
        <v>16500</v>
      </c>
      <c r="L8" s="5">
        <v>16500</v>
      </c>
      <c r="M8" s="5">
        <v>16500</v>
      </c>
      <c r="N8" s="4">
        <v>89</v>
      </c>
      <c r="O8" s="5">
        <f t="shared" si="4"/>
        <v>88</v>
      </c>
      <c r="P8" s="5">
        <f t="shared" si="5"/>
        <v>88</v>
      </c>
      <c r="Q8" s="6">
        <f t="shared" si="6"/>
        <v>87</v>
      </c>
    </row>
    <row r="9" spans="1:17">
      <c r="A9">
        <v>20</v>
      </c>
      <c r="B9" s="4">
        <v>3.35</v>
      </c>
      <c r="C9" s="5">
        <v>3</v>
      </c>
      <c r="D9" s="5">
        <v>3.2</v>
      </c>
      <c r="E9" s="5">
        <v>3.7</v>
      </c>
      <c r="F9" s="10">
        <f t="shared" si="0"/>
        <v>14.981655449248592</v>
      </c>
      <c r="G9" s="11">
        <f t="shared" si="1"/>
        <v>13.416407864998739</v>
      </c>
      <c r="H9" s="11">
        <f t="shared" si="2"/>
        <v>14.310835055998655</v>
      </c>
      <c r="I9" s="12">
        <f t="shared" si="3"/>
        <v>16.546903033498445</v>
      </c>
      <c r="J9" s="4">
        <v>18000</v>
      </c>
      <c r="K9" s="5">
        <v>18000</v>
      </c>
      <c r="L9" s="5">
        <v>18000</v>
      </c>
      <c r="M9" s="5">
        <v>18000</v>
      </c>
      <c r="N9" s="4">
        <v>90</v>
      </c>
      <c r="O9" s="5">
        <f t="shared" si="4"/>
        <v>89</v>
      </c>
      <c r="P9" s="5">
        <f t="shared" si="5"/>
        <v>89</v>
      </c>
      <c r="Q9" s="6">
        <f t="shared" si="6"/>
        <v>88</v>
      </c>
    </row>
    <row r="10" spans="1:17">
      <c r="A10">
        <v>21</v>
      </c>
      <c r="B10" s="4">
        <v>3.35</v>
      </c>
      <c r="C10" s="5">
        <v>3</v>
      </c>
      <c r="D10" s="5">
        <v>3.2</v>
      </c>
      <c r="E10" s="5">
        <v>3.7</v>
      </c>
      <c r="F10" s="10">
        <f t="shared" si="0"/>
        <v>15.351628578102064</v>
      </c>
      <c r="G10" s="11">
        <f t="shared" si="1"/>
        <v>13.74772708486752</v>
      </c>
      <c r="H10" s="11">
        <f t="shared" si="2"/>
        <v>14.664242223858688</v>
      </c>
      <c r="I10" s="12">
        <f t="shared" si="3"/>
        <v>16.955530071336607</v>
      </c>
      <c r="J10" s="4">
        <v>18500</v>
      </c>
      <c r="K10" s="5">
        <v>18500</v>
      </c>
      <c r="L10" s="5">
        <v>18500</v>
      </c>
      <c r="M10" s="5">
        <v>18000</v>
      </c>
      <c r="N10" s="4">
        <v>90</v>
      </c>
      <c r="O10" s="5">
        <f t="shared" si="4"/>
        <v>89</v>
      </c>
      <c r="P10" s="5">
        <f t="shared" si="5"/>
        <v>89</v>
      </c>
      <c r="Q10" s="6">
        <f t="shared" si="6"/>
        <v>88</v>
      </c>
    </row>
    <row r="11" spans="1:17">
      <c r="A11">
        <v>24</v>
      </c>
      <c r="B11" s="4">
        <v>3.35</v>
      </c>
      <c r="C11" s="5">
        <v>3</v>
      </c>
      <c r="D11" s="5">
        <v>3.2</v>
      </c>
      <c r="E11" s="5">
        <v>3.7</v>
      </c>
      <c r="F11" s="10">
        <f t="shared" si="0"/>
        <v>16.411581276647293</v>
      </c>
      <c r="G11" s="11">
        <f t="shared" si="1"/>
        <v>14.696938456699067</v>
      </c>
      <c r="H11" s="11">
        <f t="shared" si="2"/>
        <v>15.676734353812339</v>
      </c>
      <c r="I11" s="12">
        <f t="shared" si="3"/>
        <v>18.126224096595518</v>
      </c>
      <c r="J11" s="4">
        <v>19000</v>
      </c>
      <c r="K11" s="5">
        <v>19000</v>
      </c>
      <c r="L11" s="5">
        <v>19000</v>
      </c>
      <c r="M11" s="5">
        <v>18000</v>
      </c>
      <c r="N11" s="4">
        <v>91</v>
      </c>
      <c r="O11" s="5">
        <f t="shared" si="4"/>
        <v>90</v>
      </c>
      <c r="P11" s="5">
        <f t="shared" si="5"/>
        <v>90</v>
      </c>
      <c r="Q11" s="6">
        <f t="shared" si="6"/>
        <v>89</v>
      </c>
    </row>
    <row r="12" spans="1:17">
      <c r="A12">
        <v>27</v>
      </c>
      <c r="B12" s="4">
        <v>3.35</v>
      </c>
      <c r="C12" s="5">
        <v>3</v>
      </c>
      <c r="D12" s="5">
        <v>3.2</v>
      </c>
      <c r="E12" s="5">
        <v>3.7</v>
      </c>
      <c r="F12" s="10">
        <f t="shared" si="0"/>
        <v>17.407110616067218</v>
      </c>
      <c r="G12" s="11">
        <f t="shared" si="1"/>
        <v>15.588457268119896</v>
      </c>
      <c r="H12" s="11">
        <f t="shared" si="2"/>
        <v>16.627687752661224</v>
      </c>
      <c r="I12" s="12">
        <f t="shared" si="3"/>
        <v>19.22576396401454</v>
      </c>
      <c r="J12" s="4">
        <v>19000</v>
      </c>
      <c r="K12" s="5">
        <v>19000</v>
      </c>
      <c r="L12" s="5">
        <v>19000</v>
      </c>
      <c r="M12" s="5">
        <v>18000</v>
      </c>
      <c r="N12" s="4">
        <v>92</v>
      </c>
      <c r="O12" s="5">
        <f t="shared" si="4"/>
        <v>91</v>
      </c>
      <c r="P12" s="5">
        <f t="shared" si="5"/>
        <v>91</v>
      </c>
      <c r="Q12" s="6">
        <f t="shared" si="6"/>
        <v>90</v>
      </c>
    </row>
    <row r="13" spans="1:17">
      <c r="A13">
        <v>28</v>
      </c>
      <c r="B13" s="4">
        <v>3.35</v>
      </c>
      <c r="C13" s="5">
        <v>3</v>
      </c>
      <c r="D13" s="5">
        <v>3.2</v>
      </c>
      <c r="E13" s="5">
        <v>3.7</v>
      </c>
      <c r="F13" s="10">
        <f t="shared" si="0"/>
        <v>17.726533784132759</v>
      </c>
      <c r="G13" s="11">
        <f t="shared" si="1"/>
        <v>15.874507866387544</v>
      </c>
      <c r="H13" s="11">
        <f t="shared" si="2"/>
        <v>16.932808390813381</v>
      </c>
      <c r="I13" s="12">
        <f t="shared" si="3"/>
        <v>19.578559701877971</v>
      </c>
      <c r="J13" s="4">
        <v>19000</v>
      </c>
      <c r="K13" s="5">
        <v>19000</v>
      </c>
      <c r="L13" s="5">
        <v>19000</v>
      </c>
      <c r="M13" s="5">
        <v>18000</v>
      </c>
      <c r="N13" s="4">
        <v>92</v>
      </c>
      <c r="O13" s="5">
        <f t="shared" si="4"/>
        <v>91</v>
      </c>
      <c r="P13" s="5">
        <f t="shared" si="5"/>
        <v>91</v>
      </c>
      <c r="Q13" s="6">
        <f t="shared" si="6"/>
        <v>90</v>
      </c>
    </row>
    <row r="14" spans="1:17">
      <c r="A14">
        <v>30</v>
      </c>
      <c r="B14" s="4">
        <v>3.35</v>
      </c>
      <c r="C14" s="5">
        <v>3</v>
      </c>
      <c r="D14" s="5">
        <v>3.2</v>
      </c>
      <c r="E14" s="5">
        <v>3.7</v>
      </c>
      <c r="F14" s="10">
        <f>SQRT(A14)*B14</f>
        <v>18.348705676423066</v>
      </c>
      <c r="G14" s="11">
        <f t="shared" si="1"/>
        <v>16.431676725154983</v>
      </c>
      <c r="H14" s="11">
        <f>SQRT(A14)*D15</f>
        <v>17.527121840165318</v>
      </c>
      <c r="I14" s="12">
        <f>SQRT(A14)*E14</f>
        <v>20.265734627691149</v>
      </c>
      <c r="J14" s="4">
        <v>19000</v>
      </c>
      <c r="K14" s="5">
        <v>19000</v>
      </c>
      <c r="L14" s="5">
        <v>19000</v>
      </c>
      <c r="M14" s="5">
        <v>18500</v>
      </c>
      <c r="N14" s="4">
        <v>92</v>
      </c>
      <c r="O14" s="5">
        <f t="shared" si="4"/>
        <v>91</v>
      </c>
      <c r="P14" s="5">
        <f t="shared" si="5"/>
        <v>91</v>
      </c>
      <c r="Q14" s="6">
        <f t="shared" si="6"/>
        <v>90</v>
      </c>
    </row>
    <row r="15" spans="1:17">
      <c r="A15">
        <v>31</v>
      </c>
      <c r="B15" s="4">
        <v>3.35</v>
      </c>
      <c r="C15" s="5">
        <v>3</v>
      </c>
      <c r="D15" s="5">
        <v>3.2</v>
      </c>
      <c r="E15" s="5">
        <v>3.7</v>
      </c>
      <c r="F15" s="10">
        <f t="shared" si="0"/>
        <v>18.652010615480574</v>
      </c>
      <c r="G15" s="11">
        <f t="shared" si="1"/>
        <v>16.703293088490064</v>
      </c>
      <c r="H15" s="11">
        <f t="shared" si="2"/>
        <v>17.816845961056071</v>
      </c>
      <c r="I15" s="12">
        <f t="shared" si="3"/>
        <v>20.60072814247108</v>
      </c>
      <c r="J15" s="4">
        <v>19000</v>
      </c>
      <c r="K15" s="5">
        <v>19000</v>
      </c>
      <c r="L15" s="5">
        <v>19000</v>
      </c>
      <c r="M15" s="5">
        <v>18500</v>
      </c>
      <c r="N15" s="4">
        <v>92</v>
      </c>
      <c r="O15" s="5">
        <f t="shared" si="4"/>
        <v>91</v>
      </c>
      <c r="P15" s="5">
        <f t="shared" si="5"/>
        <v>91</v>
      </c>
      <c r="Q15" s="6">
        <f t="shared" si="6"/>
        <v>90</v>
      </c>
    </row>
    <row r="16" spans="1:17">
      <c r="A16">
        <v>34</v>
      </c>
      <c r="B16" s="4">
        <v>3.35</v>
      </c>
      <c r="C16" s="5">
        <v>3</v>
      </c>
      <c r="D16" s="5">
        <v>3.2</v>
      </c>
      <c r="E16" s="5">
        <v>3.7</v>
      </c>
      <c r="F16" s="10">
        <f t="shared" si="0"/>
        <v>19.533688847731757</v>
      </c>
      <c r="G16" s="11">
        <f t="shared" si="1"/>
        <v>17.492855684535904</v>
      </c>
      <c r="H16" s="11">
        <f t="shared" si="2"/>
        <v>18.659046063504963</v>
      </c>
      <c r="I16" s="12">
        <f t="shared" si="3"/>
        <v>21.574522010927613</v>
      </c>
      <c r="J16" s="4">
        <v>19000</v>
      </c>
      <c r="K16" s="5">
        <v>19000</v>
      </c>
      <c r="L16" s="5">
        <v>19000</v>
      </c>
      <c r="M16" s="5">
        <v>18500</v>
      </c>
      <c r="N16" s="4">
        <v>93</v>
      </c>
      <c r="O16" s="5">
        <f t="shared" si="4"/>
        <v>92</v>
      </c>
      <c r="P16" s="5">
        <f t="shared" si="5"/>
        <v>92</v>
      </c>
      <c r="Q16" s="6">
        <f t="shared" si="6"/>
        <v>91</v>
      </c>
    </row>
    <row r="17" spans="1:17">
      <c r="A17">
        <v>40</v>
      </c>
      <c r="B17" s="7">
        <v>3.35</v>
      </c>
      <c r="C17" s="8">
        <v>3</v>
      </c>
      <c r="D17" s="8">
        <v>3.2</v>
      </c>
      <c r="E17" s="8">
        <v>3.7</v>
      </c>
      <c r="F17" s="13">
        <f t="shared" si="0"/>
        <v>21.187260323128143</v>
      </c>
      <c r="G17" s="14">
        <f t="shared" si="1"/>
        <v>18.973665961010276</v>
      </c>
      <c r="H17" s="14">
        <f>SQRT(A17)*D17</f>
        <v>20.238577025077632</v>
      </c>
      <c r="I17" s="15">
        <f t="shared" si="3"/>
        <v>23.40085468524601</v>
      </c>
      <c r="J17" s="7">
        <v>19000</v>
      </c>
      <c r="K17" s="8">
        <v>19000</v>
      </c>
      <c r="L17" s="8">
        <v>19000</v>
      </c>
      <c r="M17" s="8">
        <v>18500</v>
      </c>
      <c r="N17" s="7">
        <v>95</v>
      </c>
      <c r="O17" s="8">
        <f t="shared" si="4"/>
        <v>94</v>
      </c>
      <c r="P17" s="8">
        <f t="shared" si="5"/>
        <v>94</v>
      </c>
      <c r="Q17" s="9">
        <f t="shared" si="6"/>
        <v>93</v>
      </c>
    </row>
    <row r="19" spans="1:17">
      <c r="A19">
        <v>50</v>
      </c>
    </row>
    <row r="20" spans="1:17">
      <c r="A20">
        <v>60</v>
      </c>
    </row>
    <row r="23" spans="1:17">
      <c r="A23" t="s">
        <v>5</v>
      </c>
      <c r="B23" s="34" t="s">
        <v>14</v>
      </c>
      <c r="C23" s="35"/>
      <c r="D23" s="35"/>
      <c r="E23" s="36"/>
      <c r="F23" s="34">
        <v>1632</v>
      </c>
      <c r="G23" s="35"/>
      <c r="H23" s="35"/>
      <c r="I23" s="35"/>
      <c r="J23" s="34">
        <v>1440</v>
      </c>
      <c r="K23" s="35"/>
      <c r="L23" s="35"/>
      <c r="M23" s="36"/>
    </row>
    <row r="24" spans="1:17">
      <c r="B24" s="18" t="s">
        <v>8</v>
      </c>
      <c r="C24" s="18" t="s">
        <v>4</v>
      </c>
      <c r="D24" s="18" t="s">
        <v>7</v>
      </c>
      <c r="E24" s="18" t="s">
        <v>6</v>
      </c>
      <c r="F24" s="16" t="s">
        <v>8</v>
      </c>
      <c r="G24" s="16" t="s">
        <v>4</v>
      </c>
      <c r="H24" s="16" t="s">
        <v>7</v>
      </c>
      <c r="I24" s="16" t="s">
        <v>6</v>
      </c>
      <c r="J24" s="18" t="s">
        <v>8</v>
      </c>
      <c r="K24" s="18" t="s">
        <v>4</v>
      </c>
      <c r="L24" s="18" t="s">
        <v>7</v>
      </c>
      <c r="M24" s="18" t="s">
        <v>6</v>
      </c>
    </row>
    <row r="25" spans="1:17">
      <c r="A25">
        <v>12</v>
      </c>
      <c r="B25" s="19">
        <f t="shared" ref="B25:B36" si="7">((7.2*J6)/(F6*A6))*N6%</f>
        <v>609.68188426424479</v>
      </c>
      <c r="C25" s="20">
        <f t="shared" ref="C25:C36" si="8">((7.2*K6)/(G6*A6))*O6%</f>
        <v>659.26183863090387</v>
      </c>
      <c r="D25" s="20">
        <f t="shared" ref="D25:D36" si="9">((7.2*L6)/(H6*A6))*P6%</f>
        <v>639.28420715724019</v>
      </c>
      <c r="E25" s="3">
        <f t="shared" ref="E25:E36" si="10">((7.2*M6)/(I6*A6))*Q6%</f>
        <v>476.66038224295505</v>
      </c>
      <c r="F25" s="19">
        <f t="shared" ref="F25:F36" si="11">(B25*3)*(1632/1000)</f>
        <v>2985.0025053577424</v>
      </c>
      <c r="G25" s="20">
        <f t="shared" ref="G25:G36" si="12">(C25*3)*(1632/1000)</f>
        <v>3227.7459619369051</v>
      </c>
      <c r="H25" s="20">
        <f t="shared" ref="H25:H36" si="13">(D25*3)*(1632/1000)</f>
        <v>3129.9354782418477</v>
      </c>
      <c r="I25" s="27">
        <f t="shared" ref="I25:I36" si="14">(E25*3)*(1632/1000)</f>
        <v>2333.7292314615074</v>
      </c>
      <c r="J25" s="20">
        <v>0</v>
      </c>
      <c r="K25" s="30">
        <f t="shared" ref="K25:M36" si="15">(C25*3)*(1440/1000)</f>
        <v>2848.0111428855048</v>
      </c>
      <c r="L25" s="30">
        <f t="shared" si="15"/>
        <v>2761.7077749192777</v>
      </c>
      <c r="M25" s="31">
        <f t="shared" si="15"/>
        <v>2059.1728512895656</v>
      </c>
    </row>
    <row r="26" spans="1:17">
      <c r="A26">
        <v>15</v>
      </c>
      <c r="B26" s="21">
        <f t="shared" si="7"/>
        <v>513.23864013741593</v>
      </c>
      <c r="C26" s="22">
        <f t="shared" si="8"/>
        <v>575.06056724487712</v>
      </c>
      <c r="D26" s="22">
        <f t="shared" si="9"/>
        <v>522.78233385897931</v>
      </c>
      <c r="E26" s="6">
        <f t="shared" si="10"/>
        <v>432.09933116605987</v>
      </c>
      <c r="F26" s="21">
        <f t="shared" si="11"/>
        <v>2512.8163821127882</v>
      </c>
      <c r="G26" s="22">
        <f t="shared" si="12"/>
        <v>2815.4965372309184</v>
      </c>
      <c r="H26" s="22">
        <f t="shared" si="13"/>
        <v>2559.5423065735627</v>
      </c>
      <c r="I26" s="28">
        <f t="shared" si="14"/>
        <v>2115.5583253890286</v>
      </c>
      <c r="J26" s="22">
        <v>0</v>
      </c>
      <c r="K26" s="25">
        <f t="shared" si="15"/>
        <v>2484.2616504978691</v>
      </c>
      <c r="L26" s="25">
        <f t="shared" si="15"/>
        <v>2258.4196822707909</v>
      </c>
      <c r="M26" s="32">
        <f t="shared" si="15"/>
        <v>1866.6691106373785</v>
      </c>
    </row>
    <row r="27" spans="1:17">
      <c r="A27">
        <v>16</v>
      </c>
      <c r="B27" s="21">
        <f t="shared" si="7"/>
        <v>485.90073529411768</v>
      </c>
      <c r="C27" s="22">
        <f t="shared" si="8"/>
        <v>544.5</v>
      </c>
      <c r="D27" s="22">
        <f t="shared" si="9"/>
        <v>510.46875</v>
      </c>
      <c r="E27" s="6">
        <f t="shared" si="10"/>
        <v>436.46959459459458</v>
      </c>
      <c r="F27" s="21">
        <f t="shared" si="11"/>
        <v>2378.9700000000003</v>
      </c>
      <c r="G27" s="22">
        <f t="shared" si="12"/>
        <v>2665.8719999999998</v>
      </c>
      <c r="H27" s="22">
        <f t="shared" si="13"/>
        <v>2499.2549999999997</v>
      </c>
      <c r="I27" s="28">
        <f t="shared" si="14"/>
        <v>2136.9551351351352</v>
      </c>
      <c r="J27" s="22">
        <v>0</v>
      </c>
      <c r="K27" s="25">
        <f t="shared" si="15"/>
        <v>2352.2399999999998</v>
      </c>
      <c r="L27" s="25">
        <f t="shared" si="15"/>
        <v>2205.2249999999999</v>
      </c>
      <c r="M27" s="32">
        <f t="shared" si="15"/>
        <v>1885.5486486486486</v>
      </c>
    </row>
    <row r="28" spans="1:17">
      <c r="A28">
        <v>20</v>
      </c>
      <c r="B28" s="21">
        <f t="shared" si="7"/>
        <v>389.27607297847084</v>
      </c>
      <c r="C28" s="22">
        <f t="shared" si="8"/>
        <v>429.86170799455954</v>
      </c>
      <c r="D28" s="22">
        <f t="shared" si="9"/>
        <v>402.99535124489961</v>
      </c>
      <c r="E28" s="6">
        <f t="shared" si="10"/>
        <v>344.6203793214811</v>
      </c>
      <c r="F28" s="21">
        <f t="shared" si="11"/>
        <v>1905.895653302593</v>
      </c>
      <c r="G28" s="22">
        <f t="shared" si="12"/>
        <v>2104.6029223413634</v>
      </c>
      <c r="H28" s="22">
        <f t="shared" si="13"/>
        <v>1973.0652396950284</v>
      </c>
      <c r="I28" s="28">
        <f t="shared" si="14"/>
        <v>1687.2613771579713</v>
      </c>
      <c r="J28" s="22">
        <v>0</v>
      </c>
      <c r="K28" s="25">
        <f t="shared" si="15"/>
        <v>1857.0025785364971</v>
      </c>
      <c r="L28" s="25">
        <f t="shared" si="15"/>
        <v>1740.9399173779661</v>
      </c>
      <c r="M28" s="32">
        <f t="shared" si="15"/>
        <v>1488.7600386687982</v>
      </c>
    </row>
    <row r="29" spans="1:17">
      <c r="A29">
        <v>21</v>
      </c>
      <c r="B29" s="21">
        <f t="shared" si="7"/>
        <v>371.8544517624843</v>
      </c>
      <c r="C29" s="22">
        <f t="shared" si="8"/>
        <v>410.62372145549881</v>
      </c>
      <c r="D29" s="22">
        <f t="shared" si="9"/>
        <v>384.95973886453015</v>
      </c>
      <c r="E29" s="6">
        <f t="shared" si="10"/>
        <v>320.30005078036635</v>
      </c>
      <c r="F29" s="21">
        <f t="shared" si="11"/>
        <v>1820.5993958291228</v>
      </c>
      <c r="G29" s="22">
        <f t="shared" si="12"/>
        <v>2010.4137402461222</v>
      </c>
      <c r="H29" s="22">
        <f t="shared" si="13"/>
        <v>1884.7628814807395</v>
      </c>
      <c r="I29" s="28">
        <f t="shared" si="14"/>
        <v>1568.1890486206737</v>
      </c>
      <c r="J29" s="22">
        <v>0</v>
      </c>
      <c r="K29" s="25">
        <f t="shared" si="15"/>
        <v>1773.8944766877548</v>
      </c>
      <c r="L29" s="25">
        <f t="shared" si="15"/>
        <v>1663.0260718947702</v>
      </c>
      <c r="M29" s="32">
        <f t="shared" si="15"/>
        <v>1383.6962193711827</v>
      </c>
    </row>
    <row r="30" spans="1:17">
      <c r="A30">
        <v>24</v>
      </c>
      <c r="B30" s="21">
        <f t="shared" si="7"/>
        <v>316.05729591582951</v>
      </c>
      <c r="C30" s="22">
        <f t="shared" si="8"/>
        <v>349.05228834660289</v>
      </c>
      <c r="D30" s="22">
        <f t="shared" si="9"/>
        <v>327.23652032494022</v>
      </c>
      <c r="E30" s="6">
        <f t="shared" si="10"/>
        <v>265.14071404990892</v>
      </c>
      <c r="F30" s="21">
        <f t="shared" si="11"/>
        <v>1547.4165208039012</v>
      </c>
      <c r="G30" s="22">
        <f t="shared" si="12"/>
        <v>1708.9600037449677</v>
      </c>
      <c r="H30" s="22">
        <f t="shared" si="13"/>
        <v>1602.1500035109073</v>
      </c>
      <c r="I30" s="28">
        <f t="shared" si="14"/>
        <v>1298.128935988354</v>
      </c>
      <c r="J30" s="22">
        <v>0</v>
      </c>
      <c r="K30" s="25">
        <f t="shared" si="15"/>
        <v>1507.9058856573245</v>
      </c>
      <c r="L30" s="25">
        <f t="shared" si="15"/>
        <v>1413.6617678037417</v>
      </c>
      <c r="M30" s="32">
        <f t="shared" si="15"/>
        <v>1145.4078846956065</v>
      </c>
    </row>
    <row r="31" spans="1:17">
      <c r="A31">
        <v>27</v>
      </c>
      <c r="B31" s="21">
        <f t="shared" si="7"/>
        <v>267.7832890330921</v>
      </c>
      <c r="C31" s="22">
        <f t="shared" si="8"/>
        <v>295.77440457151494</v>
      </c>
      <c r="D31" s="22">
        <f t="shared" si="9"/>
        <v>277.28850428579523</v>
      </c>
      <c r="E31" s="6">
        <f t="shared" si="10"/>
        <v>224.69848314407059</v>
      </c>
      <c r="F31" s="21">
        <f t="shared" si="11"/>
        <v>1311.0669831060188</v>
      </c>
      <c r="G31" s="22">
        <f t="shared" si="12"/>
        <v>1448.111484782137</v>
      </c>
      <c r="H31" s="22">
        <f t="shared" si="13"/>
        <v>1357.6045169832535</v>
      </c>
      <c r="I31" s="28">
        <f t="shared" si="14"/>
        <v>1100.1237734733695</v>
      </c>
      <c r="J31" s="22">
        <v>0</v>
      </c>
      <c r="K31" s="25">
        <f t="shared" si="15"/>
        <v>1277.7454277489446</v>
      </c>
      <c r="L31" s="25">
        <f t="shared" si="15"/>
        <v>1197.8863385146353</v>
      </c>
      <c r="M31" s="32">
        <f t="shared" si="15"/>
        <v>970.69744718238496</v>
      </c>
    </row>
    <row r="32" spans="1:17">
      <c r="A32">
        <v>28</v>
      </c>
      <c r="B32" s="21">
        <f t="shared" si="7"/>
        <v>253.56661361966579</v>
      </c>
      <c r="C32" s="22">
        <f t="shared" si="8"/>
        <v>280.0716744998374</v>
      </c>
      <c r="D32" s="22">
        <f t="shared" si="9"/>
        <v>262.56719484359752</v>
      </c>
      <c r="E32" s="6">
        <f t="shared" si="10"/>
        <v>212.76918982527152</v>
      </c>
      <c r="F32" s="21">
        <f t="shared" si="11"/>
        <v>1241.4621402818836</v>
      </c>
      <c r="G32" s="22">
        <f t="shared" si="12"/>
        <v>1371.2309183512039</v>
      </c>
      <c r="H32" s="22">
        <f t="shared" si="13"/>
        <v>1285.5289859542534</v>
      </c>
      <c r="I32" s="28">
        <f t="shared" si="14"/>
        <v>1041.7179533845294</v>
      </c>
      <c r="J32" s="22">
        <v>0</v>
      </c>
      <c r="K32" s="25">
        <f t="shared" si="15"/>
        <v>1209.9096338392976</v>
      </c>
      <c r="L32" s="25">
        <f t="shared" si="15"/>
        <v>1134.2902817243414</v>
      </c>
      <c r="M32" s="32">
        <f t="shared" si="15"/>
        <v>919.16290004517305</v>
      </c>
    </row>
    <row r="33" spans="1:13">
      <c r="A33">
        <v>30</v>
      </c>
      <c r="B33" s="21">
        <f t="shared" si="7"/>
        <v>228.63738042245498</v>
      </c>
      <c r="C33" s="22">
        <f t="shared" si="8"/>
        <v>252.53661384704859</v>
      </c>
      <c r="D33" s="22">
        <f t="shared" si="9"/>
        <v>236.75307548160799</v>
      </c>
      <c r="E33" s="6">
        <f t="shared" si="10"/>
        <v>197.18012070185975</v>
      </c>
      <c r="F33" s="21">
        <f t="shared" si="11"/>
        <v>1119.4086145483395</v>
      </c>
      <c r="G33" s="22">
        <f t="shared" si="12"/>
        <v>1236.4192613951498</v>
      </c>
      <c r="H33" s="22">
        <f t="shared" si="13"/>
        <v>1159.1430575579527</v>
      </c>
      <c r="I33" s="28">
        <f t="shared" si="14"/>
        <v>965.39387095630525</v>
      </c>
      <c r="J33" s="22">
        <v>0</v>
      </c>
      <c r="K33" s="25">
        <f>(C33*3)*(1440/1000)</f>
        <v>1090.9581718192499</v>
      </c>
      <c r="L33" s="25">
        <f t="shared" ref="L33:M33" si="16">(D33*3)*(1440/1000)</f>
        <v>1022.7732860805465</v>
      </c>
      <c r="M33" s="32">
        <f t="shared" si="16"/>
        <v>851.81812143203399</v>
      </c>
    </row>
    <row r="34" spans="1:13">
      <c r="A34">
        <v>31</v>
      </c>
      <c r="B34" s="21">
        <f t="shared" si="7"/>
        <v>217.66398547791798</v>
      </c>
      <c r="C34" s="22">
        <f t="shared" si="8"/>
        <v>240.41618106138884</v>
      </c>
      <c r="D34" s="22">
        <f t="shared" si="9"/>
        <v>225.39016974505194</v>
      </c>
      <c r="E34" s="6">
        <f t="shared" si="10"/>
        <v>187.71650921508086</v>
      </c>
      <c r="F34" s="21">
        <f t="shared" si="11"/>
        <v>1065.6828728998862</v>
      </c>
      <c r="G34" s="22">
        <f t="shared" si="12"/>
        <v>1177.0776224765596</v>
      </c>
      <c r="H34" s="22">
        <f t="shared" si="13"/>
        <v>1103.5102710717742</v>
      </c>
      <c r="I34" s="28">
        <f t="shared" si="14"/>
        <v>919.06002911703592</v>
      </c>
      <c r="J34" s="22">
        <v>0</v>
      </c>
      <c r="K34" s="25">
        <f t="shared" si="15"/>
        <v>1038.5979021851997</v>
      </c>
      <c r="L34" s="25">
        <f t="shared" si="15"/>
        <v>973.68553329862436</v>
      </c>
      <c r="M34" s="32">
        <f t="shared" si="15"/>
        <v>810.93531980914941</v>
      </c>
    </row>
    <row r="35" spans="1:13">
      <c r="A35">
        <v>34</v>
      </c>
      <c r="B35" s="21">
        <f t="shared" si="7"/>
        <v>191.56045650720409</v>
      </c>
      <c r="C35" s="22">
        <f t="shared" si="8"/>
        <v>211.60907776172144</v>
      </c>
      <c r="D35" s="22">
        <f t="shared" si="9"/>
        <v>198.3835104016139</v>
      </c>
      <c r="E35" s="6">
        <f t="shared" si="10"/>
        <v>165.24393086084083</v>
      </c>
      <c r="F35" s="21">
        <f t="shared" si="11"/>
        <v>937.87999505927121</v>
      </c>
      <c r="G35" s="22">
        <f t="shared" si="12"/>
        <v>1036.0380447213881</v>
      </c>
      <c r="H35" s="22">
        <f t="shared" si="13"/>
        <v>971.2856669263017</v>
      </c>
      <c r="I35" s="28">
        <f t="shared" si="14"/>
        <v>809.03428549467674</v>
      </c>
      <c r="J35" s="22">
        <v>0</v>
      </c>
      <c r="K35" s="25">
        <f t="shared" si="15"/>
        <v>914.15121593063657</v>
      </c>
      <c r="L35" s="25">
        <f t="shared" si="15"/>
        <v>857.01676493497212</v>
      </c>
      <c r="M35" s="32">
        <f t="shared" si="15"/>
        <v>713.85378131883238</v>
      </c>
    </row>
    <row r="36" spans="1:13">
      <c r="A36">
        <v>40</v>
      </c>
      <c r="B36" s="23">
        <f t="shared" si="7"/>
        <v>153.3468674311502</v>
      </c>
      <c r="C36" s="24">
        <f t="shared" si="8"/>
        <v>169.43483703182173</v>
      </c>
      <c r="D36" s="24">
        <f t="shared" si="9"/>
        <v>158.84515971733288</v>
      </c>
      <c r="E36" s="9">
        <f t="shared" si="10"/>
        <v>132.34132007804669</v>
      </c>
      <c r="F36" s="23">
        <f t="shared" si="11"/>
        <v>750.78626294291132</v>
      </c>
      <c r="G36" s="24">
        <f t="shared" si="12"/>
        <v>829.55296210779909</v>
      </c>
      <c r="H36" s="24">
        <f t="shared" si="13"/>
        <v>777.70590197606168</v>
      </c>
      <c r="I36" s="29">
        <f t="shared" si="14"/>
        <v>647.94310310211654</v>
      </c>
      <c r="J36" s="24">
        <v>0</v>
      </c>
      <c r="K36" s="26">
        <f t="shared" si="15"/>
        <v>731.95849597746985</v>
      </c>
      <c r="L36" s="26">
        <f t="shared" si="15"/>
        <v>686.21108997887802</v>
      </c>
      <c r="M36" s="33">
        <f t="shared" si="15"/>
        <v>571.71450273716164</v>
      </c>
    </row>
    <row r="39" spans="1:13">
      <c r="A39" t="s">
        <v>12</v>
      </c>
      <c r="B39">
        <v>163</v>
      </c>
    </row>
    <row r="40" spans="1:13">
      <c r="A40" t="s">
        <v>13</v>
      </c>
      <c r="B40">
        <f>B39*1.05</f>
        <v>171.15</v>
      </c>
    </row>
    <row r="41" spans="1:13">
      <c r="A41" t="s">
        <v>10</v>
      </c>
      <c r="B41">
        <v>60000</v>
      </c>
    </row>
    <row r="43" spans="1:13">
      <c r="A43" t="s">
        <v>5</v>
      </c>
      <c r="B43" s="1"/>
      <c r="C43" s="2" t="s">
        <v>11</v>
      </c>
      <c r="D43" s="2"/>
      <c r="E43" s="3"/>
      <c r="G43" s="34" t="s">
        <v>15</v>
      </c>
      <c r="H43" s="35"/>
      <c r="I43" s="35"/>
      <c r="J43" s="36"/>
    </row>
    <row r="44" spans="1:13">
      <c r="B44" s="16" t="s">
        <v>8</v>
      </c>
      <c r="C44" s="16" t="s">
        <v>4</v>
      </c>
      <c r="D44" s="16" t="s">
        <v>7</v>
      </c>
      <c r="E44" s="16" t="s">
        <v>6</v>
      </c>
      <c r="G44" s="18" t="s">
        <v>8</v>
      </c>
      <c r="H44" s="18" t="s">
        <v>4</v>
      </c>
      <c r="I44" s="18" t="s">
        <v>7</v>
      </c>
      <c r="J44" s="18" t="s">
        <v>6</v>
      </c>
    </row>
    <row r="45" spans="1:13">
      <c r="A45">
        <v>12</v>
      </c>
      <c r="B45" s="10">
        <f>B41/F25</f>
        <v>20.100485641907092</v>
      </c>
      <c r="C45" s="11">
        <f>B41/G25</f>
        <v>18.58882350332032</v>
      </c>
      <c r="D45" s="11">
        <f>B41/H25</f>
        <v>19.16972423779908</v>
      </c>
      <c r="E45" s="12">
        <f>B41/I25</f>
        <v>25.709923495462562</v>
      </c>
      <c r="G45" s="10">
        <f>B40+B45</f>
        <v>191.25048564190709</v>
      </c>
      <c r="H45" s="11">
        <f>B40+C45</f>
        <v>189.73882350332033</v>
      </c>
      <c r="I45" s="11">
        <f>B40+D45</f>
        <v>190.31972423779908</v>
      </c>
      <c r="J45" s="12">
        <f>B40+E45</f>
        <v>196.85992349546257</v>
      </c>
    </row>
    <row r="46" spans="1:13">
      <c r="A46">
        <v>15</v>
      </c>
      <c r="B46" s="10">
        <f>B41/F26</f>
        <v>23.877590271658331</v>
      </c>
      <c r="C46" s="11">
        <f>B41/G26</f>
        <v>21.310628234340104</v>
      </c>
      <c r="D46" s="11">
        <f>B41/H26</f>
        <v>23.441691057774108</v>
      </c>
      <c r="E46" s="12">
        <f>B41/I26</f>
        <v>28.361307405205498</v>
      </c>
      <c r="G46" s="10">
        <f>B40+B46</f>
        <v>195.02759027165834</v>
      </c>
      <c r="H46" s="11">
        <f>B40+C46</f>
        <v>192.46062823434011</v>
      </c>
      <c r="I46" s="11">
        <f>B40+D46</f>
        <v>194.59169105777411</v>
      </c>
      <c r="J46" s="12">
        <f>B40+E46</f>
        <v>199.51130740520551</v>
      </c>
    </row>
    <row r="47" spans="1:13">
      <c r="A47">
        <v>16</v>
      </c>
      <c r="B47" s="10">
        <f>B41/F27</f>
        <v>25.220999003770537</v>
      </c>
      <c r="C47" s="11">
        <f>B41/G27</f>
        <v>22.506706998685608</v>
      </c>
      <c r="D47" s="11">
        <f>B41/H27</f>
        <v>24.007154131931319</v>
      </c>
      <c r="E47" s="12">
        <f>B41/I27</f>
        <v>28.077332562344957</v>
      </c>
      <c r="G47" s="10">
        <f>B40+B47</f>
        <v>196.37099900377055</v>
      </c>
      <c r="H47" s="11">
        <f>B40+C47</f>
        <v>193.65670699868562</v>
      </c>
      <c r="I47" s="11">
        <f>B40+D47</f>
        <v>195.15715413193132</v>
      </c>
      <c r="J47" s="12">
        <f>B40+E47</f>
        <v>199.22733256234497</v>
      </c>
    </row>
    <row r="48" spans="1:13">
      <c r="A48">
        <v>20</v>
      </c>
      <c r="B48" s="10">
        <f>B41/F28</f>
        <v>31.481261786829833</v>
      </c>
      <c r="C48" s="11">
        <f>B41/G28</f>
        <v>28.508940742726999</v>
      </c>
      <c r="D48" s="11">
        <f>B41/H28</f>
        <v>30.409536792242129</v>
      </c>
      <c r="E48" s="12">
        <f>B41/I28</f>
        <v>35.56058404007576</v>
      </c>
      <c r="G48" s="10">
        <f>B40+B48</f>
        <v>202.63126178682984</v>
      </c>
      <c r="H48" s="11">
        <f>B40+C48</f>
        <v>199.658940742727</v>
      </c>
      <c r="I48" s="11">
        <f>B40+D48</f>
        <v>201.55953679224214</v>
      </c>
      <c r="J48" s="12">
        <f>B40+E48</f>
        <v>206.71058404007576</v>
      </c>
    </row>
    <row r="49" spans="1:10">
      <c r="A49">
        <v>21</v>
      </c>
      <c r="B49" s="10">
        <f>B41/F29</f>
        <v>32.956179232760469</v>
      </c>
      <c r="C49" s="11">
        <f>B41/G29</f>
        <v>29.844603028158065</v>
      </c>
      <c r="D49" s="11">
        <f>B41/H29</f>
        <v>31.83424323003527</v>
      </c>
      <c r="E49" s="12">
        <f>B41/I29</f>
        <v>38.260693156079604</v>
      </c>
      <c r="G49" s="10">
        <f>B40+B49</f>
        <v>204.10617923276047</v>
      </c>
      <c r="H49" s="11">
        <f>B40+C49</f>
        <v>200.99460302815808</v>
      </c>
      <c r="I49" s="11">
        <f>B40+D49</f>
        <v>202.98424323003528</v>
      </c>
      <c r="J49" s="12">
        <f>B40+E49</f>
        <v>209.41069315607962</v>
      </c>
    </row>
    <row r="50" spans="1:10">
      <c r="A50">
        <v>24</v>
      </c>
      <c r="B50" s="10">
        <f>B41/F30</f>
        <v>38.774304909727398</v>
      </c>
      <c r="C50" s="11">
        <f>B41/G30</f>
        <v>35.109072107315363</v>
      </c>
      <c r="D50" s="11">
        <f>B41/H30</f>
        <v>37.44967691446972</v>
      </c>
      <c r="E50" s="12">
        <f>B41/I30</f>
        <v>46.220370208694185</v>
      </c>
      <c r="G50" s="10">
        <f>B40+B50</f>
        <v>209.9243049097274</v>
      </c>
      <c r="H50" s="11">
        <f>B40+C50</f>
        <v>206.25907210731538</v>
      </c>
      <c r="I50" s="11">
        <f>B40+D50</f>
        <v>208.59967691446974</v>
      </c>
      <c r="J50" s="12">
        <f>B40+E50</f>
        <v>217.3703702086942</v>
      </c>
    </row>
    <row r="51" spans="1:10">
      <c r="A51">
        <v>27</v>
      </c>
      <c r="B51" s="10">
        <f>B41/F31</f>
        <v>45.764252149692133</v>
      </c>
      <c r="C51" s="11">
        <f>B41/G31</f>
        <v>41.433274047285643</v>
      </c>
      <c r="D51" s="11">
        <f>B41/H31</f>
        <v>44.195492317104687</v>
      </c>
      <c r="E51" s="12">
        <f>B41/I31</f>
        <v>54.539317708374575</v>
      </c>
      <c r="G51" s="10">
        <f>B40+B51</f>
        <v>216.91425214969215</v>
      </c>
      <c r="H51" s="11">
        <f>B40+C51</f>
        <v>212.58327404728564</v>
      </c>
      <c r="I51" s="11">
        <f>B40+D51</f>
        <v>215.34549231710469</v>
      </c>
      <c r="J51" s="12">
        <f>B40+E51</f>
        <v>225.68931770837457</v>
      </c>
    </row>
    <row r="52" spans="1:10">
      <c r="A52">
        <v>28</v>
      </c>
      <c r="B52" s="10">
        <f>B41/F32</f>
        <v>48.330108549566027</v>
      </c>
      <c r="C52" s="11">
        <f>B41/G32</f>
        <v>43.756306247925934</v>
      </c>
      <c r="D52" s="11">
        <f>B41/H32</f>
        <v>46.673393331121005</v>
      </c>
      <c r="E52" s="12">
        <f>B41/I32</f>
        <v>57.597164189270906</v>
      </c>
      <c r="G52" s="10">
        <f>B40+B52</f>
        <v>219.48010854956604</v>
      </c>
      <c r="H52" s="11">
        <f>B40+C52</f>
        <v>214.90630624792595</v>
      </c>
      <c r="I52" s="11">
        <f>B40+D52</f>
        <v>217.823393331121</v>
      </c>
      <c r="J52" s="12">
        <f>B40+E52</f>
        <v>228.7471641892709</v>
      </c>
    </row>
    <row r="53" spans="1:10">
      <c r="A53">
        <v>30</v>
      </c>
      <c r="B53" s="10">
        <f>B41/F33</f>
        <v>53.599730447142285</v>
      </c>
      <c r="C53" s="11">
        <f>B41/G33</f>
        <v>48.527228484209516</v>
      </c>
      <c r="D53" s="11">
        <f>B41/H33</f>
        <v>51.762377049823492</v>
      </c>
      <c r="E53" s="12">
        <f>B41/I33</f>
        <v>62.150798554961682</v>
      </c>
      <c r="G53" s="10">
        <f>B40+B53</f>
        <v>224.7497304471423</v>
      </c>
      <c r="H53" s="11">
        <f>B40+C53</f>
        <v>219.67722848420954</v>
      </c>
      <c r="I53" s="11">
        <f>B40+D53</f>
        <v>222.9123770498235</v>
      </c>
      <c r="J53" s="12">
        <f>B40+E53</f>
        <v>233.30079855496169</v>
      </c>
    </row>
    <row r="54" spans="1:10">
      <c r="A54">
        <v>31</v>
      </c>
      <c r="B54" s="10">
        <f>B41/F34</f>
        <v>56.30192764263051</v>
      </c>
      <c r="C54" s="11">
        <f>B41/G34</f>
        <v>50.973698636595095</v>
      </c>
      <c r="D54" s="11">
        <f>B41/H34</f>
        <v>54.371945212368118</v>
      </c>
      <c r="E54" s="12">
        <f>B41/I34</f>
        <v>65.284092550128094</v>
      </c>
      <c r="G54" s="10">
        <f>B40+B54</f>
        <v>227.45192764263052</v>
      </c>
      <c r="H54" s="11">
        <f>B40+C54</f>
        <v>222.12369863659509</v>
      </c>
      <c r="I54" s="11">
        <f>B40+D54</f>
        <v>225.52194521236811</v>
      </c>
      <c r="J54" s="12">
        <f>B40+E54</f>
        <v>236.4340925501281</v>
      </c>
    </row>
    <row r="55" spans="1:10">
      <c r="A55">
        <v>34</v>
      </c>
      <c r="B55" s="10">
        <f>B41/F35</f>
        <v>63.974069514307295</v>
      </c>
      <c r="C55" s="11">
        <f>B41/G35</f>
        <v>57.912931195625376</v>
      </c>
      <c r="D55" s="11">
        <f>B41/H35</f>
        <v>61.773793275333716</v>
      </c>
      <c r="E55" s="12">
        <f>B41/I35</f>
        <v>74.162493575057255</v>
      </c>
      <c r="G55" s="10">
        <f>B40+B55</f>
        <v>235.12406951430731</v>
      </c>
      <c r="H55" s="11">
        <f>B40+C55</f>
        <v>229.06293119562537</v>
      </c>
      <c r="I55" s="11">
        <f>B40+D55</f>
        <v>232.92379327533371</v>
      </c>
      <c r="J55" s="12">
        <f>B40+E55</f>
        <v>245.31249357505726</v>
      </c>
    </row>
    <row r="56" spans="1:10">
      <c r="A56">
        <v>40</v>
      </c>
      <c r="B56" s="13">
        <f>B41/F36</f>
        <v>79.916219783795256</v>
      </c>
      <c r="C56" s="14">
        <f>B41/G36</f>
        <v>72.328112538525417</v>
      </c>
      <c r="D56" s="14">
        <f>B41/H36</f>
        <v>77.149986707760434</v>
      </c>
      <c r="E56" s="15">
        <f>B41/I36</f>
        <v>92.600723293051146</v>
      </c>
      <c r="G56" s="13">
        <f>B40+B56</f>
        <v>251.06621978379525</v>
      </c>
      <c r="H56" s="14">
        <f>B40+C56</f>
        <v>243.47811253852541</v>
      </c>
      <c r="I56" s="14">
        <f>B40+D56</f>
        <v>248.29998670776044</v>
      </c>
      <c r="J56" s="15">
        <f>B40+E56</f>
        <v>263.75072329305112</v>
      </c>
    </row>
  </sheetData>
  <mergeCells count="8">
    <mergeCell ref="G43:J43"/>
    <mergeCell ref="J4:M4"/>
    <mergeCell ref="F4:I4"/>
    <mergeCell ref="B4:E4"/>
    <mergeCell ref="N4:Q4"/>
    <mergeCell ref="B23:E23"/>
    <mergeCell ref="F23:I23"/>
    <mergeCell ref="J23:M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Q56"/>
  <sheetViews>
    <sheetView tabSelected="1" workbookViewId="0">
      <selection activeCell="B6" sqref="B6"/>
    </sheetView>
  </sheetViews>
  <sheetFormatPr defaultRowHeight="15"/>
  <cols>
    <col min="1" max="1" width="13.85546875" bestFit="1" customWidth="1"/>
    <col min="2" max="2" width="10.5703125" bestFit="1" customWidth="1"/>
    <col min="6" max="7" width="10.5703125" bestFit="1" customWidth="1"/>
    <col min="10" max="10" width="10.5703125" bestFit="1" customWidth="1"/>
    <col min="11" max="11" width="10.85546875" customWidth="1"/>
    <col min="12" max="12" width="11.140625" customWidth="1"/>
    <col min="13" max="13" width="9.85546875" customWidth="1"/>
    <col min="14" max="14" width="10.5703125" bestFit="1" customWidth="1"/>
    <col min="15" max="15" width="8.7109375" bestFit="1" customWidth="1"/>
    <col min="16" max="16" width="8.7109375" customWidth="1"/>
    <col min="19" max="19" width="10.5703125" bestFit="1" customWidth="1"/>
    <col min="20" max="20" width="8.7109375" bestFit="1" customWidth="1"/>
    <col min="21" max="21" width="10.140625" customWidth="1"/>
    <col min="27" max="28" width="11.5703125" bestFit="1" customWidth="1"/>
  </cols>
  <sheetData>
    <row r="2" spans="1:17">
      <c r="B2" t="s">
        <v>0</v>
      </c>
    </row>
    <row r="4" spans="1:17">
      <c r="A4" t="s">
        <v>5</v>
      </c>
      <c r="B4" s="34" t="s">
        <v>2</v>
      </c>
      <c r="C4" s="35"/>
      <c r="D4" s="35"/>
      <c r="E4" s="36"/>
      <c r="F4" s="34" t="s">
        <v>1</v>
      </c>
      <c r="G4" s="35"/>
      <c r="H4" s="35"/>
      <c r="I4" s="36"/>
      <c r="J4" s="37" t="s">
        <v>3</v>
      </c>
      <c r="K4" s="37"/>
      <c r="L4" s="37"/>
      <c r="M4" s="37"/>
      <c r="N4" s="37" t="s">
        <v>9</v>
      </c>
      <c r="O4" s="37"/>
      <c r="P4" s="37"/>
      <c r="Q4" s="37"/>
    </row>
    <row r="5" spans="1:17">
      <c r="B5" s="16" t="s">
        <v>8</v>
      </c>
      <c r="C5" s="16" t="s">
        <v>4</v>
      </c>
      <c r="D5" s="16" t="s">
        <v>7</v>
      </c>
      <c r="E5" s="16" t="s">
        <v>6</v>
      </c>
      <c r="F5" s="16" t="s">
        <v>8</v>
      </c>
      <c r="G5" s="16" t="s">
        <v>4</v>
      </c>
      <c r="H5" s="16" t="s">
        <v>7</v>
      </c>
      <c r="I5" s="16" t="s">
        <v>6</v>
      </c>
      <c r="J5" s="16" t="s">
        <v>8</v>
      </c>
      <c r="K5" s="16" t="s">
        <v>4</v>
      </c>
      <c r="L5" s="16" t="s">
        <v>7</v>
      </c>
      <c r="M5" s="16" t="s">
        <v>6</v>
      </c>
      <c r="N5" s="17" t="s">
        <v>8</v>
      </c>
      <c r="O5" s="17" t="s">
        <v>4</v>
      </c>
      <c r="P5" s="17" t="s">
        <v>7</v>
      </c>
      <c r="Q5" s="17" t="s">
        <v>6</v>
      </c>
    </row>
    <row r="6" spans="1:17">
      <c r="A6">
        <v>12</v>
      </c>
      <c r="B6" s="4">
        <v>3.5</v>
      </c>
      <c r="C6" s="5">
        <v>3.2</v>
      </c>
      <c r="D6" s="5">
        <v>3.4</v>
      </c>
      <c r="E6" s="5">
        <v>3.75</v>
      </c>
      <c r="F6" s="10">
        <f t="shared" ref="F6:F17" si="0">SQRT(A6)*B6</f>
        <v>12.124355652982141</v>
      </c>
      <c r="G6" s="11">
        <f t="shared" ref="G6:G17" si="1">SQRT(A6)*C6</f>
        <v>11.085125168440815</v>
      </c>
      <c r="H6" s="11">
        <f t="shared" ref="H6:H16" si="2">SQRT(A6)*D7</f>
        <v>11.431535329954588</v>
      </c>
      <c r="I6" s="12">
        <f t="shared" ref="I6:I17" si="3">SQRT(A6)*E6</f>
        <v>12.990381056766578</v>
      </c>
      <c r="J6" s="1">
        <v>14000</v>
      </c>
      <c r="K6" s="2">
        <v>14000</v>
      </c>
      <c r="L6" s="2">
        <v>14000</v>
      </c>
      <c r="M6" s="2">
        <v>12000</v>
      </c>
      <c r="N6" s="1">
        <v>88</v>
      </c>
      <c r="O6" s="2">
        <f>N6-1</f>
        <v>87</v>
      </c>
      <c r="P6" s="2">
        <f>N6-1</f>
        <v>87</v>
      </c>
      <c r="Q6" s="3">
        <f>N6-2</f>
        <v>86</v>
      </c>
    </row>
    <row r="7" spans="1:17">
      <c r="A7">
        <v>15</v>
      </c>
      <c r="B7" s="4">
        <v>3.4</v>
      </c>
      <c r="C7" s="5">
        <v>3</v>
      </c>
      <c r="D7" s="5">
        <v>3.3</v>
      </c>
      <c r="E7" s="5">
        <v>3.7</v>
      </c>
      <c r="F7" s="10">
        <f t="shared" si="0"/>
        <v>13.168143377105217</v>
      </c>
      <c r="G7" s="11">
        <f t="shared" si="1"/>
        <v>11.618950038622252</v>
      </c>
      <c r="H7" s="11">
        <f t="shared" si="2"/>
        <v>12.780845042484476</v>
      </c>
      <c r="I7" s="12">
        <f t="shared" si="3"/>
        <v>14.330038380967444</v>
      </c>
      <c r="J7" s="4">
        <v>16000</v>
      </c>
      <c r="K7" s="5">
        <v>16000</v>
      </c>
      <c r="L7" s="5">
        <v>16000</v>
      </c>
      <c r="M7" s="5">
        <v>15000</v>
      </c>
      <c r="N7" s="4">
        <v>88</v>
      </c>
      <c r="O7" s="5">
        <f t="shared" ref="O7:O17" si="4">N7-1</f>
        <v>87</v>
      </c>
      <c r="P7" s="5">
        <f t="shared" ref="P7:P17" si="5">N7-1</f>
        <v>87</v>
      </c>
      <c r="Q7" s="6">
        <f t="shared" ref="Q7:Q17" si="6">N7-2</f>
        <v>86</v>
      </c>
    </row>
    <row r="8" spans="1:17">
      <c r="A8">
        <v>16</v>
      </c>
      <c r="B8" s="4">
        <v>3.4</v>
      </c>
      <c r="C8" s="5">
        <v>3</v>
      </c>
      <c r="D8" s="5">
        <v>3.3</v>
      </c>
      <c r="E8" s="5">
        <v>3.7</v>
      </c>
      <c r="F8" s="10">
        <f t="shared" si="0"/>
        <v>13.6</v>
      </c>
      <c r="G8" s="11">
        <f t="shared" si="1"/>
        <v>12</v>
      </c>
      <c r="H8" s="11">
        <f t="shared" si="2"/>
        <v>12.8</v>
      </c>
      <c r="I8" s="12">
        <f t="shared" si="3"/>
        <v>14.8</v>
      </c>
      <c r="J8" s="4">
        <v>16500</v>
      </c>
      <c r="K8" s="5">
        <v>16500</v>
      </c>
      <c r="L8" s="5">
        <v>16500</v>
      </c>
      <c r="M8" s="5">
        <v>16500</v>
      </c>
      <c r="N8" s="4">
        <v>89</v>
      </c>
      <c r="O8" s="5">
        <f t="shared" si="4"/>
        <v>88</v>
      </c>
      <c r="P8" s="5">
        <f t="shared" si="5"/>
        <v>88</v>
      </c>
      <c r="Q8" s="6">
        <f t="shared" si="6"/>
        <v>87</v>
      </c>
    </row>
    <row r="9" spans="1:17">
      <c r="A9">
        <v>20</v>
      </c>
      <c r="B9" s="4">
        <v>3.35</v>
      </c>
      <c r="C9" s="5">
        <v>3</v>
      </c>
      <c r="D9" s="5">
        <v>3.2</v>
      </c>
      <c r="E9" s="5">
        <v>3.7</v>
      </c>
      <c r="F9" s="10">
        <f t="shared" si="0"/>
        <v>14.981655449248592</v>
      </c>
      <c r="G9" s="11">
        <f t="shared" si="1"/>
        <v>13.416407864998739</v>
      </c>
      <c r="H9" s="11">
        <f t="shared" si="2"/>
        <v>14.310835055998655</v>
      </c>
      <c r="I9" s="12">
        <f t="shared" si="3"/>
        <v>16.546903033498445</v>
      </c>
      <c r="J9" s="4">
        <v>18000</v>
      </c>
      <c r="K9" s="5">
        <v>18000</v>
      </c>
      <c r="L9" s="5">
        <v>18000</v>
      </c>
      <c r="M9" s="5">
        <v>18000</v>
      </c>
      <c r="N9" s="4">
        <v>90</v>
      </c>
      <c r="O9" s="5">
        <f t="shared" si="4"/>
        <v>89</v>
      </c>
      <c r="P9" s="5">
        <f t="shared" si="5"/>
        <v>89</v>
      </c>
      <c r="Q9" s="6">
        <f t="shared" si="6"/>
        <v>88</v>
      </c>
    </row>
    <row r="10" spans="1:17">
      <c r="A10">
        <v>21</v>
      </c>
      <c r="B10" s="4">
        <v>3.35</v>
      </c>
      <c r="C10" s="5">
        <v>3</v>
      </c>
      <c r="D10" s="5">
        <v>3.2</v>
      </c>
      <c r="E10" s="5">
        <v>3.7</v>
      </c>
      <c r="F10" s="10">
        <f t="shared" si="0"/>
        <v>15.351628578102064</v>
      </c>
      <c r="G10" s="11">
        <f t="shared" si="1"/>
        <v>13.74772708486752</v>
      </c>
      <c r="H10" s="11">
        <f t="shared" si="2"/>
        <v>14.664242223858688</v>
      </c>
      <c r="I10" s="12">
        <f t="shared" si="3"/>
        <v>16.955530071336607</v>
      </c>
      <c r="J10" s="4">
        <v>18500</v>
      </c>
      <c r="K10" s="5">
        <v>18500</v>
      </c>
      <c r="L10" s="5">
        <v>18500</v>
      </c>
      <c r="M10" s="5">
        <v>18000</v>
      </c>
      <c r="N10" s="4">
        <v>90</v>
      </c>
      <c r="O10" s="5">
        <f t="shared" si="4"/>
        <v>89</v>
      </c>
      <c r="P10" s="5">
        <f t="shared" si="5"/>
        <v>89</v>
      </c>
      <c r="Q10" s="6">
        <f t="shared" si="6"/>
        <v>88</v>
      </c>
    </row>
    <row r="11" spans="1:17">
      <c r="A11">
        <v>24</v>
      </c>
      <c r="B11" s="4">
        <v>3.35</v>
      </c>
      <c r="C11" s="5">
        <v>3</v>
      </c>
      <c r="D11" s="5">
        <v>3.2</v>
      </c>
      <c r="E11" s="5">
        <v>3.7</v>
      </c>
      <c r="F11" s="10">
        <f t="shared" si="0"/>
        <v>16.411581276647293</v>
      </c>
      <c r="G11" s="11">
        <f t="shared" si="1"/>
        <v>14.696938456699067</v>
      </c>
      <c r="H11" s="11">
        <f t="shared" si="2"/>
        <v>15.676734353812339</v>
      </c>
      <c r="I11" s="12">
        <f t="shared" si="3"/>
        <v>18.126224096595518</v>
      </c>
      <c r="J11" s="4">
        <v>19000</v>
      </c>
      <c r="K11" s="5">
        <v>19000</v>
      </c>
      <c r="L11" s="5">
        <v>19000</v>
      </c>
      <c r="M11" s="5">
        <v>18000</v>
      </c>
      <c r="N11" s="4">
        <v>91</v>
      </c>
      <c r="O11" s="5">
        <f t="shared" si="4"/>
        <v>90</v>
      </c>
      <c r="P11" s="5">
        <f t="shared" si="5"/>
        <v>90</v>
      </c>
      <c r="Q11" s="6">
        <f t="shared" si="6"/>
        <v>89</v>
      </c>
    </row>
    <row r="12" spans="1:17">
      <c r="A12">
        <v>27</v>
      </c>
      <c r="B12" s="4">
        <v>3.35</v>
      </c>
      <c r="C12" s="5">
        <v>3</v>
      </c>
      <c r="D12" s="5">
        <v>3.2</v>
      </c>
      <c r="E12" s="5">
        <v>3.7</v>
      </c>
      <c r="F12" s="10">
        <f t="shared" si="0"/>
        <v>17.407110616067218</v>
      </c>
      <c r="G12" s="11">
        <f t="shared" si="1"/>
        <v>15.588457268119896</v>
      </c>
      <c r="H12" s="11">
        <f t="shared" si="2"/>
        <v>16.627687752661224</v>
      </c>
      <c r="I12" s="12">
        <f t="shared" si="3"/>
        <v>19.22576396401454</v>
      </c>
      <c r="J12" s="4">
        <v>19000</v>
      </c>
      <c r="K12" s="5">
        <v>19000</v>
      </c>
      <c r="L12" s="5">
        <v>19000</v>
      </c>
      <c r="M12" s="5">
        <v>18000</v>
      </c>
      <c r="N12" s="4">
        <v>92</v>
      </c>
      <c r="O12" s="5">
        <f t="shared" si="4"/>
        <v>91</v>
      </c>
      <c r="P12" s="5">
        <f t="shared" si="5"/>
        <v>91</v>
      </c>
      <c r="Q12" s="6">
        <f t="shared" si="6"/>
        <v>90</v>
      </c>
    </row>
    <row r="13" spans="1:17">
      <c r="A13">
        <v>28</v>
      </c>
      <c r="B13" s="4">
        <v>3.35</v>
      </c>
      <c r="C13" s="5">
        <v>3</v>
      </c>
      <c r="D13" s="5">
        <v>3.2</v>
      </c>
      <c r="E13" s="5">
        <v>3.7</v>
      </c>
      <c r="F13" s="10">
        <f t="shared" si="0"/>
        <v>17.726533784132759</v>
      </c>
      <c r="G13" s="11">
        <f t="shared" si="1"/>
        <v>15.874507866387544</v>
      </c>
      <c r="H13" s="11">
        <f t="shared" si="2"/>
        <v>16.932808390813381</v>
      </c>
      <c r="I13" s="12">
        <f t="shared" si="3"/>
        <v>19.578559701877971</v>
      </c>
      <c r="J13" s="4">
        <v>19000</v>
      </c>
      <c r="K13" s="5">
        <v>19000</v>
      </c>
      <c r="L13" s="5">
        <v>19000</v>
      </c>
      <c r="M13" s="5">
        <v>18000</v>
      </c>
      <c r="N13" s="4">
        <v>92</v>
      </c>
      <c r="O13" s="5">
        <f t="shared" si="4"/>
        <v>91</v>
      </c>
      <c r="P13" s="5">
        <f t="shared" si="5"/>
        <v>91</v>
      </c>
      <c r="Q13" s="6">
        <f t="shared" si="6"/>
        <v>90</v>
      </c>
    </row>
    <row r="14" spans="1:17">
      <c r="A14">
        <v>30</v>
      </c>
      <c r="B14" s="4">
        <v>3.35</v>
      </c>
      <c r="C14" s="5">
        <v>3</v>
      </c>
      <c r="D14" s="5">
        <v>3.2</v>
      </c>
      <c r="E14" s="5">
        <v>3.7</v>
      </c>
      <c r="F14" s="10">
        <f>SQRT(A14)*B14</f>
        <v>18.348705676423066</v>
      </c>
      <c r="G14" s="11">
        <f t="shared" si="1"/>
        <v>16.431676725154983</v>
      </c>
      <c r="H14" s="11">
        <f>SQRT(A14)*D15</f>
        <v>17.527121840165318</v>
      </c>
      <c r="I14" s="12">
        <f>SQRT(A14)*E14</f>
        <v>20.265734627691149</v>
      </c>
      <c r="J14" s="4">
        <v>19000</v>
      </c>
      <c r="K14" s="5">
        <v>19000</v>
      </c>
      <c r="L14" s="5">
        <v>19000</v>
      </c>
      <c r="M14" s="5">
        <v>18500</v>
      </c>
      <c r="N14" s="4">
        <v>92</v>
      </c>
      <c r="O14" s="5">
        <f t="shared" si="4"/>
        <v>91</v>
      </c>
      <c r="P14" s="5">
        <f t="shared" si="5"/>
        <v>91</v>
      </c>
      <c r="Q14" s="6">
        <f t="shared" si="6"/>
        <v>90</v>
      </c>
    </row>
    <row r="15" spans="1:17">
      <c r="A15">
        <v>31</v>
      </c>
      <c r="B15" s="4">
        <v>3.35</v>
      </c>
      <c r="C15" s="5">
        <v>3</v>
      </c>
      <c r="D15" s="5">
        <v>3.2</v>
      </c>
      <c r="E15" s="5">
        <v>3.7</v>
      </c>
      <c r="F15" s="10">
        <f t="shared" si="0"/>
        <v>18.652010615480574</v>
      </c>
      <c r="G15" s="11">
        <f t="shared" si="1"/>
        <v>16.703293088490064</v>
      </c>
      <c r="H15" s="11">
        <f t="shared" si="2"/>
        <v>17.816845961056071</v>
      </c>
      <c r="I15" s="12">
        <f t="shared" si="3"/>
        <v>20.60072814247108</v>
      </c>
      <c r="J15" s="4">
        <v>19000</v>
      </c>
      <c r="K15" s="5">
        <v>19000</v>
      </c>
      <c r="L15" s="5">
        <v>19000</v>
      </c>
      <c r="M15" s="5">
        <v>18500</v>
      </c>
      <c r="N15" s="4">
        <v>92</v>
      </c>
      <c r="O15" s="5">
        <f t="shared" si="4"/>
        <v>91</v>
      </c>
      <c r="P15" s="5">
        <f t="shared" si="5"/>
        <v>91</v>
      </c>
      <c r="Q15" s="6">
        <f t="shared" si="6"/>
        <v>90</v>
      </c>
    </row>
    <row r="16" spans="1:17">
      <c r="A16">
        <v>34</v>
      </c>
      <c r="B16" s="4">
        <v>3.35</v>
      </c>
      <c r="C16" s="5">
        <v>3</v>
      </c>
      <c r="D16" s="5">
        <v>3.2</v>
      </c>
      <c r="E16" s="5">
        <v>3.7</v>
      </c>
      <c r="F16" s="10">
        <f t="shared" si="0"/>
        <v>19.533688847731757</v>
      </c>
      <c r="G16" s="11">
        <f t="shared" si="1"/>
        <v>17.492855684535904</v>
      </c>
      <c r="H16" s="11">
        <f t="shared" si="2"/>
        <v>18.659046063504963</v>
      </c>
      <c r="I16" s="12">
        <f t="shared" si="3"/>
        <v>21.574522010927613</v>
      </c>
      <c r="J16" s="4">
        <v>19000</v>
      </c>
      <c r="K16" s="5">
        <v>19000</v>
      </c>
      <c r="L16" s="5">
        <v>19000</v>
      </c>
      <c r="M16" s="5">
        <v>18500</v>
      </c>
      <c r="N16" s="4">
        <v>93</v>
      </c>
      <c r="O16" s="5">
        <f t="shared" si="4"/>
        <v>92</v>
      </c>
      <c r="P16" s="5">
        <f t="shared" si="5"/>
        <v>92</v>
      </c>
      <c r="Q16" s="6">
        <f t="shared" si="6"/>
        <v>91</v>
      </c>
    </row>
    <row r="17" spans="1:17">
      <c r="A17">
        <v>40</v>
      </c>
      <c r="B17" s="7">
        <v>3.35</v>
      </c>
      <c r="C17" s="8">
        <v>3</v>
      </c>
      <c r="D17" s="8">
        <v>3.2</v>
      </c>
      <c r="E17" s="8">
        <v>3.7</v>
      </c>
      <c r="F17" s="13">
        <f t="shared" si="0"/>
        <v>21.187260323128143</v>
      </c>
      <c r="G17" s="14">
        <f t="shared" si="1"/>
        <v>18.973665961010276</v>
      </c>
      <c r="H17" s="14">
        <f>SQRT(A17)*D17</f>
        <v>20.238577025077632</v>
      </c>
      <c r="I17" s="15">
        <f t="shared" si="3"/>
        <v>23.40085468524601</v>
      </c>
      <c r="J17" s="7">
        <v>19000</v>
      </c>
      <c r="K17" s="8">
        <v>19000</v>
      </c>
      <c r="L17" s="8">
        <v>19000</v>
      </c>
      <c r="M17" s="8">
        <v>18500</v>
      </c>
      <c r="N17" s="7">
        <v>95</v>
      </c>
      <c r="O17" s="8">
        <f t="shared" si="4"/>
        <v>94</v>
      </c>
      <c r="P17" s="8">
        <f t="shared" si="5"/>
        <v>94</v>
      </c>
      <c r="Q17" s="9">
        <f t="shared" si="6"/>
        <v>93</v>
      </c>
    </row>
    <row r="19" spans="1:17">
      <c r="A19">
        <v>50</v>
      </c>
    </row>
    <row r="20" spans="1:17">
      <c r="A20">
        <v>60</v>
      </c>
    </row>
    <row r="23" spans="1:17">
      <c r="A23" t="s">
        <v>5</v>
      </c>
      <c r="B23" s="34" t="s">
        <v>14</v>
      </c>
      <c r="C23" s="35"/>
      <c r="D23" s="35"/>
      <c r="E23" s="36"/>
      <c r="F23" s="34">
        <v>1632</v>
      </c>
      <c r="G23" s="35"/>
      <c r="H23" s="35"/>
      <c r="I23" s="35"/>
      <c r="J23" s="34">
        <v>1440</v>
      </c>
      <c r="K23" s="35"/>
      <c r="L23" s="35"/>
      <c r="M23" s="36"/>
    </row>
    <row r="24" spans="1:17">
      <c r="B24" s="18" t="s">
        <v>8</v>
      </c>
      <c r="C24" s="18" t="s">
        <v>4</v>
      </c>
      <c r="D24" s="18" t="s">
        <v>7</v>
      </c>
      <c r="E24" s="18" t="s">
        <v>6</v>
      </c>
      <c r="F24" s="16" t="s">
        <v>8</v>
      </c>
      <c r="G24" s="16" t="s">
        <v>4</v>
      </c>
      <c r="H24" s="16" t="s">
        <v>7</v>
      </c>
      <c r="I24" s="16" t="s">
        <v>6</v>
      </c>
      <c r="J24" s="18" t="s">
        <v>8</v>
      </c>
      <c r="K24" s="18" t="s">
        <v>4</v>
      </c>
      <c r="L24" s="18" t="s">
        <v>7</v>
      </c>
      <c r="M24" s="18" t="s">
        <v>6</v>
      </c>
    </row>
    <row r="25" spans="1:17">
      <c r="A25">
        <v>12</v>
      </c>
      <c r="B25" s="19">
        <f t="shared" ref="B25:B36" si="7">((7.2*J6)/(F6*A6))*N6%</f>
        <v>609.68188426424479</v>
      </c>
      <c r="C25" s="20">
        <f t="shared" ref="C25:C36" si="8">((7.2*K6)/(G6*A6))*O6%</f>
        <v>659.26183863090387</v>
      </c>
      <c r="D25" s="20">
        <f t="shared" ref="D25:D36" si="9">((7.2*L6)/(H6*A6))*P6%</f>
        <v>639.28420715724019</v>
      </c>
      <c r="E25" s="3">
        <f t="shared" ref="E25:E36" si="10">((7.2*M6)/(I6*A6))*Q6%</f>
        <v>476.66038224295505</v>
      </c>
      <c r="F25" s="19">
        <f t="shared" ref="F25:I36" si="11">(B25*3)*(1632/1000)</f>
        <v>2985.0025053577424</v>
      </c>
      <c r="G25" s="20">
        <f t="shared" si="11"/>
        <v>3227.7459619369051</v>
      </c>
      <c r="H25" s="20">
        <f t="shared" si="11"/>
        <v>3129.9354782418477</v>
      </c>
      <c r="I25" s="27">
        <f t="shared" si="11"/>
        <v>2333.7292314615074</v>
      </c>
      <c r="J25" s="20">
        <v>0</v>
      </c>
      <c r="K25" s="30">
        <f t="shared" ref="K25:M36" si="12">(C25*3)*(1440/1000)</f>
        <v>2848.0111428855048</v>
      </c>
      <c r="L25" s="30">
        <f t="shared" si="12"/>
        <v>2761.7077749192777</v>
      </c>
      <c r="M25" s="31">
        <f t="shared" si="12"/>
        <v>2059.1728512895656</v>
      </c>
    </row>
    <row r="26" spans="1:17">
      <c r="A26">
        <v>15</v>
      </c>
      <c r="B26" s="21">
        <f t="shared" si="7"/>
        <v>513.23864013741593</v>
      </c>
      <c r="C26" s="22">
        <f t="shared" si="8"/>
        <v>575.06056724487712</v>
      </c>
      <c r="D26" s="22">
        <f t="shared" si="9"/>
        <v>522.78233385897931</v>
      </c>
      <c r="E26" s="6">
        <f t="shared" si="10"/>
        <v>432.09933116605987</v>
      </c>
      <c r="F26" s="21">
        <f t="shared" si="11"/>
        <v>2512.8163821127882</v>
      </c>
      <c r="G26" s="22">
        <f t="shared" si="11"/>
        <v>2815.4965372309184</v>
      </c>
      <c r="H26" s="22">
        <f t="shared" si="11"/>
        <v>2559.5423065735627</v>
      </c>
      <c r="I26" s="28">
        <f t="shared" si="11"/>
        <v>2115.5583253890286</v>
      </c>
      <c r="J26" s="22">
        <v>0</v>
      </c>
      <c r="K26" s="25">
        <f t="shared" si="12"/>
        <v>2484.2616504978691</v>
      </c>
      <c r="L26" s="25">
        <f t="shared" si="12"/>
        <v>2258.4196822707909</v>
      </c>
      <c r="M26" s="32">
        <f t="shared" si="12"/>
        <v>1866.6691106373785</v>
      </c>
    </row>
    <row r="27" spans="1:17">
      <c r="A27">
        <v>16</v>
      </c>
      <c r="B27" s="21">
        <f t="shared" si="7"/>
        <v>485.90073529411768</v>
      </c>
      <c r="C27" s="22">
        <f t="shared" si="8"/>
        <v>544.5</v>
      </c>
      <c r="D27" s="22">
        <f t="shared" si="9"/>
        <v>510.46875</v>
      </c>
      <c r="E27" s="6">
        <f t="shared" si="10"/>
        <v>436.46959459459458</v>
      </c>
      <c r="F27" s="21">
        <f t="shared" si="11"/>
        <v>2378.9700000000003</v>
      </c>
      <c r="G27" s="22">
        <f t="shared" si="11"/>
        <v>2665.8719999999998</v>
      </c>
      <c r="H27" s="22">
        <f t="shared" si="11"/>
        <v>2499.2549999999997</v>
      </c>
      <c r="I27" s="28">
        <f t="shared" si="11"/>
        <v>2136.9551351351352</v>
      </c>
      <c r="J27" s="22">
        <v>0</v>
      </c>
      <c r="K27" s="25">
        <f t="shared" si="12"/>
        <v>2352.2399999999998</v>
      </c>
      <c r="L27" s="25">
        <f t="shared" si="12"/>
        <v>2205.2249999999999</v>
      </c>
      <c r="M27" s="32">
        <f t="shared" si="12"/>
        <v>1885.5486486486486</v>
      </c>
    </row>
    <row r="28" spans="1:17">
      <c r="A28">
        <v>20</v>
      </c>
      <c r="B28" s="21">
        <f t="shared" si="7"/>
        <v>389.27607297847084</v>
      </c>
      <c r="C28" s="22">
        <f t="shared" si="8"/>
        <v>429.86170799455954</v>
      </c>
      <c r="D28" s="22">
        <f t="shared" si="9"/>
        <v>402.99535124489961</v>
      </c>
      <c r="E28" s="6">
        <f t="shared" si="10"/>
        <v>344.6203793214811</v>
      </c>
      <c r="F28" s="21">
        <f t="shared" si="11"/>
        <v>1905.895653302593</v>
      </c>
      <c r="G28" s="22">
        <f t="shared" si="11"/>
        <v>2104.6029223413634</v>
      </c>
      <c r="H28" s="22">
        <f t="shared" si="11"/>
        <v>1973.0652396950284</v>
      </c>
      <c r="I28" s="28">
        <f t="shared" si="11"/>
        <v>1687.2613771579713</v>
      </c>
      <c r="J28" s="22">
        <v>0</v>
      </c>
      <c r="K28" s="25">
        <f t="shared" si="12"/>
        <v>1857.0025785364971</v>
      </c>
      <c r="L28" s="25">
        <f t="shared" si="12"/>
        <v>1740.9399173779661</v>
      </c>
      <c r="M28" s="32">
        <f t="shared" si="12"/>
        <v>1488.7600386687982</v>
      </c>
    </row>
    <row r="29" spans="1:17">
      <c r="A29">
        <v>21</v>
      </c>
      <c r="B29" s="21">
        <f t="shared" si="7"/>
        <v>371.8544517624843</v>
      </c>
      <c r="C29" s="22">
        <f t="shared" si="8"/>
        <v>410.62372145549881</v>
      </c>
      <c r="D29" s="22">
        <f t="shared" si="9"/>
        <v>384.95973886453015</v>
      </c>
      <c r="E29" s="6">
        <f t="shared" si="10"/>
        <v>320.30005078036635</v>
      </c>
      <c r="F29" s="21">
        <f t="shared" si="11"/>
        <v>1820.5993958291228</v>
      </c>
      <c r="G29" s="22">
        <f t="shared" si="11"/>
        <v>2010.4137402461222</v>
      </c>
      <c r="H29" s="22">
        <f t="shared" si="11"/>
        <v>1884.7628814807395</v>
      </c>
      <c r="I29" s="28">
        <f t="shared" si="11"/>
        <v>1568.1890486206737</v>
      </c>
      <c r="J29" s="22">
        <v>0</v>
      </c>
      <c r="K29" s="25">
        <f t="shared" si="12"/>
        <v>1773.8944766877548</v>
      </c>
      <c r="L29" s="25">
        <f t="shared" si="12"/>
        <v>1663.0260718947702</v>
      </c>
      <c r="M29" s="32">
        <f t="shared" si="12"/>
        <v>1383.6962193711827</v>
      </c>
    </row>
    <row r="30" spans="1:17">
      <c r="A30">
        <v>24</v>
      </c>
      <c r="B30" s="21">
        <f t="shared" si="7"/>
        <v>316.05729591582951</v>
      </c>
      <c r="C30" s="22">
        <f t="shared" si="8"/>
        <v>349.05228834660289</v>
      </c>
      <c r="D30" s="22">
        <f t="shared" si="9"/>
        <v>327.23652032494022</v>
      </c>
      <c r="E30" s="6">
        <f t="shared" si="10"/>
        <v>265.14071404990892</v>
      </c>
      <c r="F30" s="21">
        <f t="shared" si="11"/>
        <v>1547.4165208039012</v>
      </c>
      <c r="G30" s="22">
        <f t="shared" si="11"/>
        <v>1708.9600037449677</v>
      </c>
      <c r="H30" s="22">
        <f t="shared" si="11"/>
        <v>1602.1500035109073</v>
      </c>
      <c r="I30" s="28">
        <f t="shared" si="11"/>
        <v>1298.128935988354</v>
      </c>
      <c r="J30" s="22">
        <v>0</v>
      </c>
      <c r="K30" s="25">
        <f t="shared" si="12"/>
        <v>1507.9058856573245</v>
      </c>
      <c r="L30" s="25">
        <f t="shared" si="12"/>
        <v>1413.6617678037417</v>
      </c>
      <c r="M30" s="32">
        <f t="shared" si="12"/>
        <v>1145.4078846956065</v>
      </c>
    </row>
    <row r="31" spans="1:17">
      <c r="A31">
        <v>27</v>
      </c>
      <c r="B31" s="21">
        <f t="shared" si="7"/>
        <v>267.7832890330921</v>
      </c>
      <c r="C31" s="22">
        <f t="shared" si="8"/>
        <v>295.77440457151494</v>
      </c>
      <c r="D31" s="22">
        <f t="shared" si="9"/>
        <v>277.28850428579523</v>
      </c>
      <c r="E31" s="6">
        <f t="shared" si="10"/>
        <v>224.69848314407059</v>
      </c>
      <c r="F31" s="21">
        <f t="shared" si="11"/>
        <v>1311.0669831060188</v>
      </c>
      <c r="G31" s="22">
        <f t="shared" si="11"/>
        <v>1448.111484782137</v>
      </c>
      <c r="H31" s="22">
        <f t="shared" si="11"/>
        <v>1357.6045169832535</v>
      </c>
      <c r="I31" s="28">
        <f t="shared" si="11"/>
        <v>1100.1237734733695</v>
      </c>
      <c r="J31" s="22">
        <v>0</v>
      </c>
      <c r="K31" s="25">
        <f t="shared" si="12"/>
        <v>1277.7454277489446</v>
      </c>
      <c r="L31" s="25">
        <f t="shared" si="12"/>
        <v>1197.8863385146353</v>
      </c>
      <c r="M31" s="32">
        <f t="shared" si="12"/>
        <v>970.69744718238496</v>
      </c>
    </row>
    <row r="32" spans="1:17">
      <c r="A32">
        <v>28</v>
      </c>
      <c r="B32" s="21">
        <f t="shared" si="7"/>
        <v>253.56661361966579</v>
      </c>
      <c r="C32" s="22">
        <f t="shared" si="8"/>
        <v>280.0716744998374</v>
      </c>
      <c r="D32" s="22">
        <f t="shared" si="9"/>
        <v>262.56719484359752</v>
      </c>
      <c r="E32" s="6">
        <f t="shared" si="10"/>
        <v>212.76918982527152</v>
      </c>
      <c r="F32" s="21">
        <f t="shared" si="11"/>
        <v>1241.4621402818836</v>
      </c>
      <c r="G32" s="22">
        <f t="shared" si="11"/>
        <v>1371.2309183512039</v>
      </c>
      <c r="H32" s="22">
        <f t="shared" si="11"/>
        <v>1285.5289859542534</v>
      </c>
      <c r="I32" s="28">
        <f t="shared" si="11"/>
        <v>1041.7179533845294</v>
      </c>
      <c r="J32" s="22">
        <v>0</v>
      </c>
      <c r="K32" s="25">
        <f t="shared" si="12"/>
        <v>1209.9096338392976</v>
      </c>
      <c r="L32" s="25">
        <f t="shared" si="12"/>
        <v>1134.2902817243414</v>
      </c>
      <c r="M32" s="32">
        <f t="shared" si="12"/>
        <v>919.16290004517305</v>
      </c>
    </row>
    <row r="33" spans="1:13">
      <c r="A33">
        <v>30</v>
      </c>
      <c r="B33" s="21">
        <f t="shared" si="7"/>
        <v>228.63738042245498</v>
      </c>
      <c r="C33" s="22">
        <f t="shared" si="8"/>
        <v>252.53661384704859</v>
      </c>
      <c r="D33" s="22">
        <f t="shared" si="9"/>
        <v>236.75307548160799</v>
      </c>
      <c r="E33" s="6">
        <f t="shared" si="10"/>
        <v>197.18012070185975</v>
      </c>
      <c r="F33" s="21">
        <f t="shared" si="11"/>
        <v>1119.4086145483395</v>
      </c>
      <c r="G33" s="22">
        <f t="shared" si="11"/>
        <v>1236.4192613951498</v>
      </c>
      <c r="H33" s="22">
        <f t="shared" si="11"/>
        <v>1159.1430575579527</v>
      </c>
      <c r="I33" s="28">
        <f t="shared" si="11"/>
        <v>965.39387095630525</v>
      </c>
      <c r="J33" s="22">
        <v>0</v>
      </c>
      <c r="K33" s="25">
        <f>(C33*3)*(1440/1000)</f>
        <v>1090.9581718192499</v>
      </c>
      <c r="L33" s="25">
        <f t="shared" si="12"/>
        <v>1022.7732860805465</v>
      </c>
      <c r="M33" s="32">
        <f t="shared" si="12"/>
        <v>851.81812143203399</v>
      </c>
    </row>
    <row r="34" spans="1:13">
      <c r="A34">
        <v>31</v>
      </c>
      <c r="B34" s="21">
        <f t="shared" si="7"/>
        <v>217.66398547791798</v>
      </c>
      <c r="C34" s="22">
        <f t="shared" si="8"/>
        <v>240.41618106138884</v>
      </c>
      <c r="D34" s="22">
        <f t="shared" si="9"/>
        <v>225.39016974505194</v>
      </c>
      <c r="E34" s="6">
        <f t="shared" si="10"/>
        <v>187.71650921508086</v>
      </c>
      <c r="F34" s="21">
        <f t="shared" si="11"/>
        <v>1065.6828728998862</v>
      </c>
      <c r="G34" s="22">
        <f t="shared" si="11"/>
        <v>1177.0776224765596</v>
      </c>
      <c r="H34" s="22">
        <f t="shared" si="11"/>
        <v>1103.5102710717742</v>
      </c>
      <c r="I34" s="28">
        <f t="shared" si="11"/>
        <v>919.06002911703592</v>
      </c>
      <c r="J34" s="22">
        <v>0</v>
      </c>
      <c r="K34" s="25">
        <f t="shared" si="12"/>
        <v>1038.5979021851997</v>
      </c>
      <c r="L34" s="25">
        <f t="shared" si="12"/>
        <v>973.68553329862436</v>
      </c>
      <c r="M34" s="32">
        <f t="shared" si="12"/>
        <v>810.93531980914941</v>
      </c>
    </row>
    <row r="35" spans="1:13">
      <c r="A35">
        <v>34</v>
      </c>
      <c r="B35" s="21">
        <f t="shared" si="7"/>
        <v>191.56045650720409</v>
      </c>
      <c r="C35" s="22">
        <f t="shared" si="8"/>
        <v>211.60907776172144</v>
      </c>
      <c r="D35" s="22">
        <f t="shared" si="9"/>
        <v>198.3835104016139</v>
      </c>
      <c r="E35" s="6">
        <f t="shared" si="10"/>
        <v>165.24393086084083</v>
      </c>
      <c r="F35" s="21">
        <f t="shared" si="11"/>
        <v>937.87999505927121</v>
      </c>
      <c r="G35" s="22">
        <f t="shared" si="11"/>
        <v>1036.0380447213881</v>
      </c>
      <c r="H35" s="22">
        <f t="shared" si="11"/>
        <v>971.2856669263017</v>
      </c>
      <c r="I35" s="28">
        <f t="shared" si="11"/>
        <v>809.03428549467674</v>
      </c>
      <c r="J35" s="22">
        <v>0</v>
      </c>
      <c r="K35" s="25">
        <f t="shared" si="12"/>
        <v>914.15121593063657</v>
      </c>
      <c r="L35" s="25">
        <f t="shared" si="12"/>
        <v>857.01676493497212</v>
      </c>
      <c r="M35" s="32">
        <f t="shared" si="12"/>
        <v>713.85378131883238</v>
      </c>
    </row>
    <row r="36" spans="1:13">
      <c r="A36">
        <v>40</v>
      </c>
      <c r="B36" s="23">
        <f t="shared" si="7"/>
        <v>153.3468674311502</v>
      </c>
      <c r="C36" s="24">
        <f t="shared" si="8"/>
        <v>169.43483703182173</v>
      </c>
      <c r="D36" s="24">
        <f t="shared" si="9"/>
        <v>158.84515971733288</v>
      </c>
      <c r="E36" s="9">
        <f t="shared" si="10"/>
        <v>132.34132007804669</v>
      </c>
      <c r="F36" s="23">
        <f t="shared" si="11"/>
        <v>750.78626294291132</v>
      </c>
      <c r="G36" s="24">
        <f t="shared" si="11"/>
        <v>829.55296210779909</v>
      </c>
      <c r="H36" s="24">
        <f t="shared" si="11"/>
        <v>777.70590197606168</v>
      </c>
      <c r="I36" s="29">
        <f t="shared" si="11"/>
        <v>647.94310310211654</v>
      </c>
      <c r="J36" s="24">
        <v>0</v>
      </c>
      <c r="K36" s="26">
        <f t="shared" si="12"/>
        <v>731.95849597746985</v>
      </c>
      <c r="L36" s="26">
        <f t="shared" si="12"/>
        <v>686.21108997887802</v>
      </c>
      <c r="M36" s="33">
        <f t="shared" si="12"/>
        <v>571.71450273716164</v>
      </c>
    </row>
    <row r="39" spans="1:13">
      <c r="A39" t="s">
        <v>12</v>
      </c>
      <c r="B39">
        <v>163</v>
      </c>
    </row>
    <row r="40" spans="1:13">
      <c r="A40" t="s">
        <v>13</v>
      </c>
      <c r="B40">
        <f>B39*1.05</f>
        <v>171.15</v>
      </c>
    </row>
    <row r="41" spans="1:13">
      <c r="A41" t="s">
        <v>10</v>
      </c>
      <c r="B41">
        <v>60000</v>
      </c>
    </row>
    <row r="43" spans="1:13">
      <c r="A43" t="s">
        <v>5</v>
      </c>
      <c r="B43" s="1"/>
      <c r="C43" s="2" t="s">
        <v>11</v>
      </c>
      <c r="D43" s="2"/>
      <c r="E43" s="3"/>
      <c r="G43" s="34" t="s">
        <v>15</v>
      </c>
      <c r="H43" s="35"/>
      <c r="I43" s="35"/>
      <c r="J43" s="36"/>
    </row>
    <row r="44" spans="1:13">
      <c r="B44" s="16" t="s">
        <v>8</v>
      </c>
      <c r="C44" s="16" t="s">
        <v>4</v>
      </c>
      <c r="D44" s="16" t="s">
        <v>7</v>
      </c>
      <c r="E44" s="16" t="s">
        <v>6</v>
      </c>
      <c r="G44" s="18" t="s">
        <v>8</v>
      </c>
      <c r="H44" s="18" t="s">
        <v>4</v>
      </c>
      <c r="I44" s="18" t="s">
        <v>7</v>
      </c>
      <c r="J44" s="18" t="s">
        <v>6</v>
      </c>
    </row>
    <row r="45" spans="1:13">
      <c r="A45">
        <v>12</v>
      </c>
      <c r="B45" s="10">
        <f>B41/F25</f>
        <v>20.100485641907092</v>
      </c>
      <c r="C45" s="11">
        <f>B41/G25</f>
        <v>18.58882350332032</v>
      </c>
      <c r="D45" s="11">
        <f>B41/H25</f>
        <v>19.16972423779908</v>
      </c>
      <c r="E45" s="12">
        <f>B41/I25</f>
        <v>25.709923495462562</v>
      </c>
      <c r="G45" s="10">
        <f>B40+B45</f>
        <v>191.25048564190709</v>
      </c>
      <c r="H45" s="11">
        <f>B40+C45</f>
        <v>189.73882350332033</v>
      </c>
      <c r="I45" s="11">
        <f>B40+D45</f>
        <v>190.31972423779908</v>
      </c>
      <c r="J45" s="12">
        <f>B40+E45</f>
        <v>196.85992349546257</v>
      </c>
    </row>
    <row r="46" spans="1:13">
      <c r="A46">
        <v>15</v>
      </c>
      <c r="B46" s="10">
        <f>B41/F26</f>
        <v>23.877590271658331</v>
      </c>
      <c r="C46" s="11">
        <f>B41/G26</f>
        <v>21.310628234340104</v>
      </c>
      <c r="D46" s="11">
        <f>B41/H26</f>
        <v>23.441691057774108</v>
      </c>
      <c r="E46" s="12">
        <f>B41/I26</f>
        <v>28.361307405205498</v>
      </c>
      <c r="G46" s="10">
        <f>B40+B46</f>
        <v>195.02759027165834</v>
      </c>
      <c r="H46" s="11">
        <f>B40+C46</f>
        <v>192.46062823434011</v>
      </c>
      <c r="I46" s="11">
        <f>B40+D46</f>
        <v>194.59169105777411</v>
      </c>
      <c r="J46" s="12">
        <f>B40+E46</f>
        <v>199.51130740520551</v>
      </c>
    </row>
    <row r="47" spans="1:13">
      <c r="A47">
        <v>16</v>
      </c>
      <c r="B47" s="10">
        <f>B41/F27</f>
        <v>25.220999003770537</v>
      </c>
      <c r="C47" s="11">
        <f>B41/G27</f>
        <v>22.506706998685608</v>
      </c>
      <c r="D47" s="11">
        <f>B41/H27</f>
        <v>24.007154131931319</v>
      </c>
      <c r="E47" s="12">
        <f>B41/I27</f>
        <v>28.077332562344957</v>
      </c>
      <c r="G47" s="10">
        <f>B40+B47</f>
        <v>196.37099900377055</v>
      </c>
      <c r="H47" s="11">
        <f>B40+C47</f>
        <v>193.65670699868562</v>
      </c>
      <c r="I47" s="11">
        <f>B40+D47</f>
        <v>195.15715413193132</v>
      </c>
      <c r="J47" s="12">
        <f>B40+E47</f>
        <v>199.22733256234497</v>
      </c>
    </row>
    <row r="48" spans="1:13">
      <c r="A48">
        <v>20</v>
      </c>
      <c r="B48" s="10">
        <f>B41/F28</f>
        <v>31.481261786829833</v>
      </c>
      <c r="C48" s="11">
        <f>B41/G28</f>
        <v>28.508940742726999</v>
      </c>
      <c r="D48" s="11">
        <f>B41/H28</f>
        <v>30.409536792242129</v>
      </c>
      <c r="E48" s="12">
        <f>B41/I28</f>
        <v>35.56058404007576</v>
      </c>
      <c r="G48" s="10">
        <f>B40+B48</f>
        <v>202.63126178682984</v>
      </c>
      <c r="H48" s="11">
        <f>B40+C48</f>
        <v>199.658940742727</v>
      </c>
      <c r="I48" s="11">
        <f>B40+D48</f>
        <v>201.55953679224214</v>
      </c>
      <c r="J48" s="12">
        <f>B40+E48</f>
        <v>206.71058404007576</v>
      </c>
    </row>
    <row r="49" spans="1:10">
      <c r="A49">
        <v>21</v>
      </c>
      <c r="B49" s="10">
        <f>B41/F29</f>
        <v>32.956179232760469</v>
      </c>
      <c r="C49" s="11">
        <f>B41/G29</f>
        <v>29.844603028158065</v>
      </c>
      <c r="D49" s="11">
        <f>B41/H29</f>
        <v>31.83424323003527</v>
      </c>
      <c r="E49" s="12">
        <f>B41/I29</f>
        <v>38.260693156079604</v>
      </c>
      <c r="G49" s="10">
        <f>B40+B49</f>
        <v>204.10617923276047</v>
      </c>
      <c r="H49" s="11">
        <f>B40+C49</f>
        <v>200.99460302815808</v>
      </c>
      <c r="I49" s="11">
        <f>B40+D49</f>
        <v>202.98424323003528</v>
      </c>
      <c r="J49" s="12">
        <f>B40+E49</f>
        <v>209.41069315607962</v>
      </c>
    </row>
    <row r="50" spans="1:10">
      <c r="A50">
        <v>24</v>
      </c>
      <c r="B50" s="10">
        <f>B41/F30</f>
        <v>38.774304909727398</v>
      </c>
      <c r="C50" s="11">
        <f>B41/G30</f>
        <v>35.109072107315363</v>
      </c>
      <c r="D50" s="11">
        <f>B41/H30</f>
        <v>37.44967691446972</v>
      </c>
      <c r="E50" s="12">
        <f>B41/I30</f>
        <v>46.220370208694185</v>
      </c>
      <c r="G50" s="10">
        <f>B40+B50</f>
        <v>209.9243049097274</v>
      </c>
      <c r="H50" s="11">
        <f>B40+C50</f>
        <v>206.25907210731538</v>
      </c>
      <c r="I50" s="11">
        <f>B40+D50</f>
        <v>208.59967691446974</v>
      </c>
      <c r="J50" s="12">
        <f>B40+E50</f>
        <v>217.3703702086942</v>
      </c>
    </row>
    <row r="51" spans="1:10">
      <c r="A51">
        <v>27</v>
      </c>
      <c r="B51" s="10">
        <f>B41/F31</f>
        <v>45.764252149692133</v>
      </c>
      <c r="C51" s="11">
        <f>B41/G31</f>
        <v>41.433274047285643</v>
      </c>
      <c r="D51" s="11">
        <f>B41/H31</f>
        <v>44.195492317104687</v>
      </c>
      <c r="E51" s="12">
        <f>B41/I31</f>
        <v>54.539317708374575</v>
      </c>
      <c r="G51" s="10">
        <f>B40+B51</f>
        <v>216.91425214969215</v>
      </c>
      <c r="H51" s="11">
        <f>B40+C51</f>
        <v>212.58327404728564</v>
      </c>
      <c r="I51" s="11">
        <f>B40+D51</f>
        <v>215.34549231710469</v>
      </c>
      <c r="J51" s="12">
        <f>B40+E51</f>
        <v>225.68931770837457</v>
      </c>
    </row>
    <row r="52" spans="1:10">
      <c r="A52">
        <v>28</v>
      </c>
      <c r="B52" s="10">
        <f>B41/F32</f>
        <v>48.330108549566027</v>
      </c>
      <c r="C52" s="11">
        <f>B41/G32</f>
        <v>43.756306247925934</v>
      </c>
      <c r="D52" s="11">
        <f>B41/H32</f>
        <v>46.673393331121005</v>
      </c>
      <c r="E52" s="12">
        <f>B41/I32</f>
        <v>57.597164189270906</v>
      </c>
      <c r="G52" s="10">
        <f>B40+B52</f>
        <v>219.48010854956604</v>
      </c>
      <c r="H52" s="11">
        <f>B40+C52</f>
        <v>214.90630624792595</v>
      </c>
      <c r="I52" s="11">
        <f>B40+D52</f>
        <v>217.823393331121</v>
      </c>
      <c r="J52" s="12">
        <f>B40+E52</f>
        <v>228.7471641892709</v>
      </c>
    </row>
    <row r="53" spans="1:10">
      <c r="A53">
        <v>30</v>
      </c>
      <c r="B53" s="10">
        <f>B41/F33</f>
        <v>53.599730447142285</v>
      </c>
      <c r="C53" s="11">
        <f>B41/G33</f>
        <v>48.527228484209516</v>
      </c>
      <c r="D53" s="11">
        <f>B41/H33</f>
        <v>51.762377049823492</v>
      </c>
      <c r="E53" s="12">
        <f>B41/I33</f>
        <v>62.150798554961682</v>
      </c>
      <c r="G53" s="10">
        <f>B40+B53</f>
        <v>224.7497304471423</v>
      </c>
      <c r="H53" s="11">
        <f>B40+C53</f>
        <v>219.67722848420954</v>
      </c>
      <c r="I53" s="11">
        <f>B40+D53</f>
        <v>222.9123770498235</v>
      </c>
      <c r="J53" s="12">
        <f>B40+E53</f>
        <v>233.30079855496169</v>
      </c>
    </row>
    <row r="54" spans="1:10">
      <c r="A54">
        <v>31</v>
      </c>
      <c r="B54" s="10">
        <f>B41/F34</f>
        <v>56.30192764263051</v>
      </c>
      <c r="C54" s="11">
        <f>B41/G34</f>
        <v>50.973698636595095</v>
      </c>
      <c r="D54" s="11">
        <f>B41/H34</f>
        <v>54.371945212368118</v>
      </c>
      <c r="E54" s="12">
        <f>B41/I34</f>
        <v>65.284092550128094</v>
      </c>
      <c r="G54" s="10">
        <f>B40+B54</f>
        <v>227.45192764263052</v>
      </c>
      <c r="H54" s="11">
        <f>B40+C54</f>
        <v>222.12369863659509</v>
      </c>
      <c r="I54" s="11">
        <f>B40+D54</f>
        <v>225.52194521236811</v>
      </c>
      <c r="J54" s="12">
        <f>B40+E54</f>
        <v>236.4340925501281</v>
      </c>
    </row>
    <row r="55" spans="1:10">
      <c r="A55">
        <v>34</v>
      </c>
      <c r="B55" s="10">
        <f>B41/F35</f>
        <v>63.974069514307295</v>
      </c>
      <c r="C55" s="11">
        <f>B41/G35</f>
        <v>57.912931195625376</v>
      </c>
      <c r="D55" s="11">
        <f>B41/H35</f>
        <v>61.773793275333716</v>
      </c>
      <c r="E55" s="12">
        <f>B41/I35</f>
        <v>74.162493575057255</v>
      </c>
      <c r="G55" s="10">
        <f>B40+B55</f>
        <v>235.12406951430731</v>
      </c>
      <c r="H55" s="11">
        <f>B40+C55</f>
        <v>229.06293119562537</v>
      </c>
      <c r="I55" s="11">
        <f>B40+D55</f>
        <v>232.92379327533371</v>
      </c>
      <c r="J55" s="12">
        <f>B40+E55</f>
        <v>245.31249357505726</v>
      </c>
    </row>
    <row r="56" spans="1:10">
      <c r="A56">
        <v>40</v>
      </c>
      <c r="B56" s="13">
        <f>B41/F36</f>
        <v>79.916219783795256</v>
      </c>
      <c r="C56" s="14">
        <f>B41/G36</f>
        <v>72.328112538525417</v>
      </c>
      <c r="D56" s="14">
        <f>B41/H36</f>
        <v>77.149986707760434</v>
      </c>
      <c r="E56" s="15">
        <f>B41/I36</f>
        <v>92.600723293051146</v>
      </c>
      <c r="G56" s="13">
        <f>B40+B56</f>
        <v>251.06621978379525</v>
      </c>
      <c r="H56" s="14">
        <f>B40+C56</f>
        <v>243.47811253852541</v>
      </c>
      <c r="I56" s="14">
        <f>B40+D56</f>
        <v>248.29998670776044</v>
      </c>
      <c r="J56" s="15">
        <f>B40+E56</f>
        <v>263.75072329305112</v>
      </c>
    </row>
  </sheetData>
  <mergeCells count="8">
    <mergeCell ref="G43:J43"/>
    <mergeCell ref="B4:E4"/>
    <mergeCell ref="F4:I4"/>
    <mergeCell ref="J4:M4"/>
    <mergeCell ref="N4:Q4"/>
    <mergeCell ref="B23:E23"/>
    <mergeCell ref="F23:I23"/>
    <mergeCell ref="J23:M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VSF</vt:lpstr>
      <vt:lpstr>Modal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VTS</dc:creator>
  <cp:lastModifiedBy>VTS</cp:lastModifiedBy>
  <dcterms:created xsi:type="dcterms:W3CDTF">2025-06-14T07:46:34Z</dcterms:created>
  <dcterms:modified xsi:type="dcterms:W3CDTF">2025-06-16T12:04:58Z</dcterms:modified>
</cp:coreProperties>
</file>